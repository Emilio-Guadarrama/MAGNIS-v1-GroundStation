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STA v1 parts" sheetId="1" state="visible" r:id="rId3"/>
  </sheets>
  <definedNames>
    <definedName function="false" hidden="false" localSheetId="0" name="_xlnm.Print_Titles" vbProcedure="false">'VESTA v1 parts'!$3:$3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<sst xmlns="http://schemas.openxmlformats.org/spreadsheetml/2006/main" count="317" uniqueCount="172">
  <si>
    <t xml:space="preserve">VESTA v1 ground station component list (rev A)</t>
  </si>
  <si>
    <t xml:space="preserve">Boards to build</t>
  </si>
  <si>
    <t xml:space="preserve">← edit: 2 boards for diversity + 1 spare (assumption, change freely)</t>
  </si>
  <si>
    <t xml:space="preserve">Green = approved, at UNIT Electronics · White = reused from V5 (same part and footprint) · Yellow = needs a decision or a special order · Grey = DNP or PCB copper only. UNIT is the primary source (assembly in Mexico); LCSC, Mouser and DigiKey are backups. SnapMagic 'Part page' = dedicated symbol + footprint page; 'Search' = no dedicated page found, reuse the V5 footprint where noted. V5 links checked Sep 24, 2026; new UNIT links found Oct 29, 2026 — stock not re-checked, confirm at checkout.</t>
  </si>
  <si>
    <t xml:space="preserve">Status</t>
  </si>
  <si>
    <t xml:space="preserve">Component name</t>
  </si>
  <si>
    <t xml:space="preserve">ID # (part number)</t>
  </si>
  <si>
    <t xml:space="preserve">Designator on schematic</t>
  </si>
  <si>
    <t xml:space="preserve">Amount</t>
  </si>
  <si>
    <t xml:space="preserve">Total (all boards)</t>
  </si>
  <si>
    <t xml:space="preserve">UNIT Electronics</t>
  </si>
  <si>
    <t xml:space="preserve">LCSC</t>
  </si>
  <si>
    <t xml:space="preserve">Mouser MX</t>
  </si>
  <si>
    <t xml:space="preserve">DigiKey MX</t>
  </si>
  <si>
    <t xml:space="preserve">SnapMagic (symbol + footprint)</t>
  </si>
  <si>
    <t xml:space="preserve">Notes</t>
  </si>
  <si>
    <t xml:space="preserve">MODULES (plug-in, no soldering to the module itself)</t>
  </si>
  <si>
    <t xml:space="preserve">Approved</t>
  </si>
  <si>
    <t xml:space="preserve">Dev board ESP32-DevKitC V4, ESP32-WROOM-32D (4 MB flash, PCB antenna, 2×19 pins, CP2102 micro-USB)</t>
  </si>
  <si>
    <t xml:space="preserve">ESP32-DevKitC-32D</t>
  </si>
  <si>
    <t xml:space="preserve">MOD1</t>
  </si>
  <si>
    <t xml:space="preserve">UNIT</t>
  </si>
  <si>
    <t xml:space="preserve">—</t>
  </si>
  <si>
    <t xml:space="preserve">Mouser</t>
  </si>
  <si>
    <t xml:space="preserve">DigiKey</t>
  </si>
  <si>
    <t xml:space="preserve">Part page (ESP32-DEVKITC)</t>
  </si>
  <si>
    <t xml:space="preserve">UNIT $145 MXN — choose the '32D' option (PCB antenna). The '32U' needs an external IPEX antenna. Wi-Fi is only for debug, so 32D is enough; keep copper out from under its antenna. Check that the SnapMagic symbol pin numbers match the DevKit J2/J3 order and measure the row spacing on the real board.</t>
  </si>
  <si>
    <t xml:space="preserve">Request from UNIT</t>
  </si>
  <si>
    <t xml:space="preserve">GPS breakout MTK3339 / PA1616S (66 ch, 10 Hz, patch antenna)</t>
  </si>
  <si>
    <t xml:space="preserve">Adafruit 746</t>
  </si>
  <si>
    <t xml:space="preserve">MOD2</t>
  </si>
  <si>
    <t xml:space="preserve">Request</t>
  </si>
  <si>
    <t xml:space="preserve">Not needed — mounts on J4</t>
  </si>
  <si>
    <t xml:space="preserve">Not stocked at UNIT: request a special order (allow lead time). Pin order 3.3V, EN, VBAT, FIX, TX, RX, GND, VIN, PPS — check the breakout silkscreen. VIN = 5 V; EN left NC (pull-up on breakout).</t>
  </si>
  <si>
    <t xml:space="preserve">MicroSD SPI module, 6-pin (optional test module for J3)</t>
  </si>
  <si>
    <t xml:space="preserve">Generic micro SD reader</t>
  </si>
  <si>
    <t xml:space="preserve">MOD3</t>
  </si>
  <si>
    <t xml:space="preserve">Not needed — plugs into J3</t>
  </si>
  <si>
    <t xml:space="preserve">Only for testing the backup path. Its buffer never releases MISO → own SD_MISO_EXT line (IO35). Most of these modules have an onboard LDO: set JP2 to 5 V.</t>
  </si>
  <si>
    <t xml:space="preserve">POWER</t>
  </si>
  <si>
    <t xml:space="preserve">LDO 3.3 V / 600 mA, 250 mV dropout, SOT-23-5</t>
  </si>
  <si>
    <t xml:space="preserve">AP2112K-3.3TRG1</t>
  </si>
  <si>
    <t xml:space="preserve">U1</t>
  </si>
  <si>
    <t xml:space="preserve">C51118</t>
  </si>
  <si>
    <t xml:space="preserve">Part page</t>
  </si>
  <si>
    <t xml:space="preserve">Replaces AMS1117-3.3: AMS1117 needs ≥1.1 V headroom and the DevKit 5V pin sits below 5 V on laptop USB. EN tied to VIN. Built-in current limit.</t>
  </si>
  <si>
    <t xml:space="preserve">PCB only</t>
  </si>
  <si>
    <t xml:space="preserve">Solder jumper, 3-pad</t>
  </si>
  <si>
    <t xml:space="preserve">PCB copper only</t>
  </si>
  <si>
    <t xml:space="preserve">JP1, JP2</t>
  </si>
  <si>
    <t xml:space="preserve">JP1 = VCC_3V3 source (U1 or devkit 3V3). JP2 = J3 VCC (5 V or 3V3). Nothing to buy.</t>
  </si>
  <si>
    <t xml:space="preserve">RF</t>
  </si>
  <si>
    <t xml:space="preserve">Reuse (V5 part)</t>
  </si>
  <si>
    <t xml:space="preserve">LoRa transceiver 915 MHz (SX1276)</t>
  </si>
  <si>
    <t xml:space="preserve">RFM95W-915S2</t>
  </si>
  <si>
    <t xml:space="preserve">U2</t>
  </si>
  <si>
    <t xml:space="preserve">C6760738</t>
  </si>
  <si>
    <t xml:space="preserve">Same part and footprint as V5. ANT pad faces J1; CPWG trace ≤ 6 mm (W 1.0 mm / gap 0.18 mm, L2 = GND).</t>
  </si>
  <si>
    <t xml:space="preserve">SMA edge connector 50 Ω</t>
  </si>
  <si>
    <t xml:space="preserve">BWSMA-KE-Z001</t>
  </si>
  <si>
    <t xml:space="preserve">J1</t>
  </si>
  <si>
    <t xml:space="preserve">C496549</t>
  </si>
  <si>
    <t xml:space="preserve">Search</t>
  </si>
  <si>
    <t xml:space="preserve">Same as V5. Must be edge-launch for a 1.6 mm board — UNIT listing is generic SMA, confirm edge-mount. No SnapMagic page: reuse the V5 footprint. GND legs = Direct Connect.</t>
  </si>
  <si>
    <t xml:space="preserve">Resistor 0 Ω 0603 (π-match series)</t>
  </si>
  <si>
    <t xml:space="preserve">0603WAF0000T5E</t>
  </si>
  <si>
    <t xml:space="preserve">R1</t>
  </si>
  <si>
    <t xml:space="preserve">Generic — use your 0603/0805 library</t>
  </si>
  <si>
    <t xml:space="preserve">Fitted by default. Swap for an inductor/capacitor only if VNA tuning says so.</t>
  </si>
  <si>
    <t xml:space="preserve">DNP (footprint only)</t>
  </si>
  <si>
    <t xml:space="preserve">Capacitor 0603 (π-match shunts)</t>
  </si>
  <si>
    <t xml:space="preserve">C1, C2</t>
  </si>
  <si>
    <t xml:space="preserve">Footprint only, do not populate. Values chosen after VNA tuning.</t>
  </si>
  <si>
    <t xml:space="preserve">CONNECTORS &amp; HEADERS</t>
  </si>
  <si>
    <t xml:space="preserve">MicroSD socket push-push (no card detect)</t>
  </si>
  <si>
    <t xml:space="preserve">THD2528-11SD-GF</t>
  </si>
  <si>
    <t xml:space="preserve">J2</t>
  </si>
  <si>
    <t xml:space="preserve">C283232</t>
  </si>
  <si>
    <t xml:space="preserve">Same socket as V5 → the GS validates it before V5 assembly. No card-detect, so no SD_DETECT line. No SnapMagic page: reuse the V5 footprint.</t>
  </si>
  <si>
    <t xml:space="preserve">Female header 1×19, 2.54 mm (DevKitC sockets)</t>
  </si>
  <si>
    <t xml:space="preserve">PPTC191LFBN-RC</t>
  </si>
  <si>
    <t xml:space="preserve">J5, J6</t>
  </si>
  <si>
    <t xml:space="preserve">UNIT sells strips by pin count — buy 1×40 and cut (one pin lost per cut). Sullins PN is the footprint reference.</t>
  </si>
  <si>
    <t xml:space="preserve">Female header 1×9, 2.54 mm (GPS breakout)</t>
  </si>
  <si>
    <t xml:space="preserve">PPTC091LFBN-RC</t>
  </si>
  <si>
    <t xml:space="preserve">J4</t>
  </si>
  <si>
    <t xml:space="preserve">Order must match the Adafruit 746 breakout. Keep J4 at the opposite corner from J1 (~60 mm).</t>
  </si>
  <si>
    <t xml:space="preserve">Female header 1×6, 2.54 mm (external microSD module)</t>
  </si>
  <si>
    <t xml:space="preserve">PPTC061LFBN-RC</t>
  </si>
  <si>
    <t xml:space="preserve">J3</t>
  </si>
  <si>
    <t xml:space="preserve">Match the module pin order (typ. GND, VCC, MISO, MOSI, SCK, CS — check the module silkscreen).</t>
  </si>
  <si>
    <t xml:space="preserve">Male header 1×2, 2.54 mm (MODE_SEL)</t>
  </si>
  <si>
    <t xml:space="preserve">PRPC002SAAN-RC</t>
  </si>
  <si>
    <t xml:space="preserve">J7</t>
  </si>
  <si>
    <t xml:space="preserve">Cut from a 1×40 male strip. Open = rocket config, jumper fitted = CanSat config (read at boot).</t>
  </si>
  <si>
    <t xml:space="preserve">Jumper shunt 2.54 mm</t>
  </si>
  <si>
    <t xml:space="preserve">QPC02SXGN-RC</t>
  </si>
  <si>
    <t xml:space="preserve">— (on J7)</t>
  </si>
  <si>
    <t xml:space="preserve">Not needed — no footprint</t>
  </si>
  <si>
    <t xml:space="preserve">Mechanical only.</t>
  </si>
  <si>
    <t xml:space="preserve">Mounting hole M3, plated</t>
  </si>
  <si>
    <t xml:space="preserve">H1, H2, H3, H4</t>
  </si>
  <si>
    <t xml:space="preserve">3.5 mm from each corner. Nothing to buy (standoffs optional).</t>
  </si>
  <si>
    <t xml:space="preserve">INDICATORS &amp; AUDIO</t>
  </si>
  <si>
    <t xml:space="preserve">Addressable RGB LED 5050</t>
  </si>
  <si>
    <t xml:space="preserve">WS2812B-B/T</t>
  </si>
  <si>
    <t xml:space="preserve">LED1, LED2, LED3</t>
  </si>
  <si>
    <t xml:space="preserve">C2761795</t>
  </si>
  <si>
    <t xml:space="preserve">Same as V5 — reuse the corrected LED5050 footprint. VDD = 5 V.</t>
  </si>
  <si>
    <t xml:space="preserve">Pending decision</t>
  </si>
  <si>
    <t xml:space="preserve">Buffer 3.3 → 5 V, single, SOT-23-5 (WS2812B data)</t>
  </si>
  <si>
    <t xml:space="preserve">SN74AHCT1G125DBVR</t>
  </si>
  <si>
    <t xml:space="preserve">U3</t>
  </si>
  <si>
    <t xml:space="preserve">Not at UNIT → Mouser/DigiKey MX. Needed because WS2812B at 5 V wants VIH ≥ 3.5 V. If not bought: leave U3 empty and fit R3 (direct drive, same as the FC).</t>
  </si>
  <si>
    <t xml:space="preserve">Resistor 0 Ω 0603 (bypass for U3)</t>
  </si>
  <si>
    <t xml:space="preserve">R3</t>
  </si>
  <si>
    <t xml:space="preserve">Fit only if U3 is not populated.</t>
  </si>
  <si>
    <t xml:space="preserve">Red LED 0805 (power indicators)</t>
  </si>
  <si>
    <t xml:space="preserve">NCD0805R1</t>
  </si>
  <si>
    <t xml:space="preserve">D1, D2, D3</t>
  </si>
  <si>
    <t xml:space="preserve">C84256</t>
  </si>
  <si>
    <t xml:space="preserve">D1 = VCC_5V, D2 = VCC_3V3, D3 = RFM95W rail. Series 1 kΩ each (R4–R6).</t>
  </si>
  <si>
    <t xml:space="preserve">Active buzzer 5 V, 12 mm, THT</t>
  </si>
  <si>
    <t xml:space="preserve">Generic active buzzer 5 V (ref. AI-1223-TWT-5V-R)</t>
  </si>
  <si>
    <t xml:space="preserve">LS1</t>
  </si>
  <si>
    <t xml:space="preserve">Replaces V5 MLT-8530 (not at UNIT). Active type: GPIO on/off, no PWM. Pick the 5 V variant on the UNIT page; check pin pitch (typ. 7.6 mm) and polarity before freezing the footprint.</t>
  </si>
  <si>
    <t xml:space="preserve">TRANSISTORS &amp; DIODES</t>
  </si>
  <si>
    <t xml:space="preserve">NPN 25 V / 500 mA, SOT-23 (buzzer driver)</t>
  </si>
  <si>
    <t xml:space="preserve">S8050</t>
  </si>
  <si>
    <t xml:space="preserve">Q1</t>
  </si>
  <si>
    <t xml:space="preserve">C2146</t>
  </si>
  <si>
    <t xml:space="preserve">Same as V5 — reuse its footprint and pinout. Base 1 kΩ (R7) + 10 kΩ pull-down (R14) keeps LS1 quiet during boot.</t>
  </si>
  <si>
    <t xml:space="preserve">Switching diode (buzzer flyback)</t>
  </si>
  <si>
    <t xml:space="preserve">1N4148W</t>
  </si>
  <si>
    <t xml:space="preserve">D4</t>
  </si>
  <si>
    <t xml:space="preserve">C81598</t>
  </si>
  <si>
    <t xml:space="preserve">Part page (1N4148W-7-F, SOD-123)</t>
  </si>
  <si>
    <t xml:space="preserve">Across LS1. Confirm the UNIT part is SOD-123 to match the SnapMagic footprint.</t>
  </si>
  <si>
    <t xml:space="preserve">RESISTORS 0603 1 %</t>
  </si>
  <si>
    <t xml:space="preserve">Resistor 47 Ω</t>
  </si>
  <si>
    <t xml:space="preserve">0603WAF470JT5E</t>
  </si>
  <si>
    <t xml:space="preserve">R2</t>
  </si>
  <si>
    <t xml:space="preserve">WS2812B DIN series (47 Ω per FC change list).</t>
  </si>
  <si>
    <t xml:space="preserve">Resistor 1 kΩ</t>
  </si>
  <si>
    <t xml:space="preserve">0603WAF1001T5E</t>
  </si>
  <si>
    <t xml:space="preserve">R4, R5, R6, R7</t>
  </si>
  <si>
    <t xml:space="preserve">C21190</t>
  </si>
  <si>
    <t xml:space="preserve">R4–R6 LED series, R7 Q1 base.</t>
  </si>
  <si>
    <t xml:space="preserve">Resistor 10 kΩ</t>
  </si>
  <si>
    <t xml:space="preserve">0603WAF1002T5E</t>
  </si>
  <si>
    <t xml:space="preserve">R8, R9, R10, R11, R12, R13, R14</t>
  </si>
  <si>
    <t xml:space="preserve">C25804</t>
  </si>
  <si>
    <t xml:space="preserve">R8–R12 SD slot pull-ups (CS, CMD/MOSI, DAT0/MISO, DAT1, DAT2); R13 MODE_SEL pull-up; R14 Q1 base pull-down.</t>
  </si>
  <si>
    <t xml:space="preserve">CAPACITORS 0805</t>
  </si>
  <si>
    <t xml:space="preserve">Capacitor 100 nF 50 V X7R</t>
  </si>
  <si>
    <t xml:space="preserve">CC0805KRX7R9BB104</t>
  </si>
  <si>
    <t xml:space="preserve">C8, C10, C13, C14, C15, C16, C17</t>
  </si>
  <si>
    <t xml:space="preserve">C49678</t>
  </si>
  <si>
    <t xml:space="preserve">C8 RFM95W, C10 SD slot, C13 GPS, C14 U3, C15–C17 WS2812B.</t>
  </si>
  <si>
    <t xml:space="preserve">Capacitor 10 µF 25 V X5R</t>
  </si>
  <si>
    <t xml:space="preserve">CL21A106KAYNNNE</t>
  </si>
  <si>
    <t xml:space="preserve">C3, C6, C7, C9, C11, C12</t>
  </si>
  <si>
    <t xml:space="preserve">C15850</t>
  </si>
  <si>
    <t xml:space="preserve">C3 VCC_5V bulk, C6 VCC_3V3 bulk, C7 RFM95W, C9 SD slot, C11 J3, C12 GPS VIN. UNIT part is TMK212BBJ106KG-T (same spec).</t>
  </si>
  <si>
    <t xml:space="preserve">Capacitor 1 µF 50 V X7R</t>
  </si>
  <si>
    <t xml:space="preserve">CL21B105KBFNNNE</t>
  </si>
  <si>
    <t xml:space="preserve">C4, C5</t>
  </si>
  <si>
    <t xml:space="preserve">C28323</t>
  </si>
  <si>
    <t xml:space="preserve">U1 input / output (AP2112K needs ≥1 µF). UNIT part is TCC0805X7R105K500DTS (same spec).</t>
  </si>
  <si>
    <t xml:space="preserve">Parts placed per board (excl. DNP and PCB-only rows)</t>
  </si>
  <si>
    <t xml:space="preserve">Parts to order for all boards</t>
  </si>
  <si>
    <t xml:space="preserve">Parts found at UNIT Electronics (lines)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</si>
</sst>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E7E6E6"/>
      </patternFill>
    </fill>
    <fill>
      <patternFill patternType="solid">
        <fgColor rgb="FFC6EFCE"/>
        <bgColor rgb="FFD9E1F2"/>
      </patternFill>
    </fill>
    <fill>
      <patternFill patternType="solid">
        <fgColor rgb="FFFFEB9C"/>
        <bgColor rgb="FFFFCC99"/>
      </patternFill>
    </fill>
    <fill>
      <patternFill patternType="solid">
        <fgColor rgb="FFE7E6E6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uelectronics.com/producto/esp32-devkitc-v4-esp32-wroom-32d-32u/" TargetMode="External"/><Relationship Id="rId2" Type="http://schemas.openxmlformats.org/officeDocument/2006/relationships/hyperlink" Target="https://www.mouser.mx/c/?q=ESP32-DevKitC-32D" TargetMode="External"/><Relationship Id="rId3" Type="http://schemas.openxmlformats.org/officeDocument/2006/relationships/hyperlink" Target="https://www.digikey.com.mx/es/products/result?keywords=ESP32-DevKitC-32D" TargetMode="External"/><Relationship Id="rId4" Type="http://schemas.openxmlformats.org/officeDocument/2006/relationships/hyperlink" Target="https://www.snapeda.com/parts/ESP32-DEVKITC/Espressif%20Systems/view-part/" TargetMode="External"/><Relationship Id="rId5" Type="http://schemas.openxmlformats.org/officeDocument/2006/relationships/hyperlink" Target="https://www.mouser.mx/c/?q=Adafruit%20746" TargetMode="External"/><Relationship Id="rId6" Type="http://schemas.openxmlformats.org/officeDocument/2006/relationships/hyperlink" Target="https://www.digikey.com.mx/es/products/result?keywords=Adafruit%20746" TargetMode="External"/><Relationship Id="rId7" Type="http://schemas.openxmlformats.org/officeDocument/2006/relationships/hyperlink" Target="https://uelectronics.com/producto/lector-de-memorias-micro-sd-para-arduino/" TargetMode="External"/><Relationship Id="rId8" Type="http://schemas.openxmlformats.org/officeDocument/2006/relationships/hyperlink" Target="https://uelectronics.com/producto/regulador-de-voltaje-lineal-ap2112k-3-3trg1/" TargetMode="External"/><Relationship Id="rId9" Type="http://schemas.openxmlformats.org/officeDocument/2006/relationships/hyperlink" Target="https://www.lcsc.com/product-detail/C51118.html" TargetMode="External"/><Relationship Id="rId10" Type="http://schemas.openxmlformats.org/officeDocument/2006/relationships/hyperlink" Target="https://www.mouser.mx/c/?q=AP2112K-3.3TRG1" TargetMode="External"/><Relationship Id="rId11" Type="http://schemas.openxmlformats.org/officeDocument/2006/relationships/hyperlink" Target="https://www.digikey.com.mx/es/products/result?keywords=AP2112K-3.3TRG1" TargetMode="External"/><Relationship Id="rId12" Type="http://schemas.openxmlformats.org/officeDocument/2006/relationships/hyperlink" Target="https://www.snapeda.com/parts/AP2112K-3.3TRG1/Diodes%20Inc./view-part/" TargetMode="External"/><Relationship Id="rId13" Type="http://schemas.openxmlformats.org/officeDocument/2006/relationships/hyperlink" Target="https://uelectronics.com/producto/rfm95w-915mhz-transceptor-lora/" TargetMode="External"/><Relationship Id="rId14" Type="http://schemas.openxmlformats.org/officeDocument/2006/relationships/hyperlink" Target="https://www.lcsc.com/product-detail/C6760738.html" TargetMode="External"/><Relationship Id="rId15" Type="http://schemas.openxmlformats.org/officeDocument/2006/relationships/hyperlink" Target="https://www.mouser.mx/c/?q=RFM95W-915S2" TargetMode="External"/><Relationship Id="rId16" Type="http://schemas.openxmlformats.org/officeDocument/2006/relationships/hyperlink" Target="https://www.digikey.com.mx/es/products/result?keywords=RFM95W-915S2" TargetMode="External"/><Relationship Id="rId17" Type="http://schemas.openxmlformats.org/officeDocument/2006/relationships/hyperlink" Target="https://www.snapeda.com/parts/RFM95W-915S2/HOPERF/view-part/" TargetMode="External"/><Relationship Id="rId18" Type="http://schemas.openxmlformats.org/officeDocument/2006/relationships/hyperlink" Target="https://uelectronics.com/producto/conectores-sma-hembra-vertical-y-horizontal/" TargetMode="External"/><Relationship Id="rId19" Type="http://schemas.openxmlformats.org/officeDocument/2006/relationships/hyperlink" Target="https://www.lcsc.com/product-detail/C496549.html" TargetMode="External"/><Relationship Id="rId20" Type="http://schemas.openxmlformats.org/officeDocument/2006/relationships/hyperlink" Target="https://www.mouser.mx/c/?q=BWSMA-KE-Z001" TargetMode="External"/><Relationship Id="rId21" Type="http://schemas.openxmlformats.org/officeDocument/2006/relationships/hyperlink" Target="https://www.digikey.com.mx/es/products/result?keywords=BWSMA-KE-Z001" TargetMode="External"/><Relationship Id="rId22" Type="http://schemas.openxmlformats.org/officeDocument/2006/relationships/hyperlink" Target="https://www.snapeda.com/search/?q=BWSMA-KE-Z001" TargetMode="External"/><Relationship Id="rId23" Type="http://schemas.openxmlformats.org/officeDocument/2006/relationships/hyperlink" Target="https://uelectronics.com/producto/resistencias-smd-0603/" TargetMode="External"/><Relationship Id="rId24" Type="http://schemas.openxmlformats.org/officeDocument/2006/relationships/hyperlink" Target="https://www.lcsc.com/search?q=0603WAF0000T5E" TargetMode="External"/><Relationship Id="rId25" Type="http://schemas.openxmlformats.org/officeDocument/2006/relationships/hyperlink" Target="https://www.mouser.mx/c/?q=0603WAF0000T5E" TargetMode="External"/><Relationship Id="rId26" Type="http://schemas.openxmlformats.org/officeDocument/2006/relationships/hyperlink" Target="https://www.digikey.com.mx/es/products/result?keywords=0603WAF0000T5E" TargetMode="External"/><Relationship Id="rId27" Type="http://schemas.openxmlformats.org/officeDocument/2006/relationships/hyperlink" Target="https://uelectronics.com/producto/thd2528-11sd-gf-conector-para-memoria-micro-sd/" TargetMode="External"/><Relationship Id="rId28" Type="http://schemas.openxmlformats.org/officeDocument/2006/relationships/hyperlink" Target="https://www.lcsc.com/product-detail/C283232.html" TargetMode="External"/><Relationship Id="rId29" Type="http://schemas.openxmlformats.org/officeDocument/2006/relationships/hyperlink" Target="https://www.mouser.mx/c/?q=THD2528-11SD-GF" TargetMode="External"/><Relationship Id="rId30" Type="http://schemas.openxmlformats.org/officeDocument/2006/relationships/hyperlink" Target="https://www.digikey.com.mx/es/products/result?keywords=THD2528-11SD-GF" TargetMode="External"/><Relationship Id="rId31" Type="http://schemas.openxmlformats.org/officeDocument/2006/relationships/hyperlink" Target="https://www.snapeda.com/search/?q=THD2528-11SD-GF" TargetMode="External"/><Relationship Id="rId32" Type="http://schemas.openxmlformats.org/officeDocument/2006/relationships/hyperlink" Target="https://uelectronics.com/producto/tira-header-hembra-2-54mm-diferentes-pines/" TargetMode="External"/><Relationship Id="rId33" Type="http://schemas.openxmlformats.org/officeDocument/2006/relationships/hyperlink" Target="https://www.mouser.mx/c/?q=PPTC191LFBN-RC" TargetMode="External"/><Relationship Id="rId34" Type="http://schemas.openxmlformats.org/officeDocument/2006/relationships/hyperlink" Target="https://www.digikey.com.mx/es/products/result?keywords=PPTC191LFBN-RC" TargetMode="External"/><Relationship Id="rId35" Type="http://schemas.openxmlformats.org/officeDocument/2006/relationships/hyperlink" Target="https://www.snapeda.com/search/?q=PPTC191LFBN-RC" TargetMode="External"/><Relationship Id="rId36" Type="http://schemas.openxmlformats.org/officeDocument/2006/relationships/hyperlink" Target="https://uelectronics.com/producto/tira-header-hembra-2-54mm-diferentes-pines/" TargetMode="External"/><Relationship Id="rId37" Type="http://schemas.openxmlformats.org/officeDocument/2006/relationships/hyperlink" Target="https://www.mouser.mx/c/?q=PPTC091LFBN-RC" TargetMode="External"/><Relationship Id="rId38" Type="http://schemas.openxmlformats.org/officeDocument/2006/relationships/hyperlink" Target="https://www.digikey.com.mx/es/products/result?keywords=PPTC091LFBN-RC" TargetMode="External"/><Relationship Id="rId39" Type="http://schemas.openxmlformats.org/officeDocument/2006/relationships/hyperlink" Target="https://www.snapeda.com/search/?q=PPTC091LFBN-RC" TargetMode="External"/><Relationship Id="rId40" Type="http://schemas.openxmlformats.org/officeDocument/2006/relationships/hyperlink" Target="https://uelectronics.com/producto/tira-header-hembra-2-54mm-diferentes-pines/" TargetMode="External"/><Relationship Id="rId41" Type="http://schemas.openxmlformats.org/officeDocument/2006/relationships/hyperlink" Target="https://www.mouser.mx/c/?q=PPTC061LFBN-RC" TargetMode="External"/><Relationship Id="rId42" Type="http://schemas.openxmlformats.org/officeDocument/2006/relationships/hyperlink" Target="https://www.digikey.com.mx/es/products/result?keywords=PPTC061LFBN-RC" TargetMode="External"/><Relationship Id="rId43" Type="http://schemas.openxmlformats.org/officeDocument/2006/relationships/hyperlink" Target="https://www.snapeda.com/search/?q=PPTC061LFBN-RC" TargetMode="External"/><Relationship Id="rId44" Type="http://schemas.openxmlformats.org/officeDocument/2006/relationships/hyperlink" Target="https://uelectronics.com/producto/tira-header-macho-40p-2-54mm-diferentes-colores/" TargetMode="External"/><Relationship Id="rId45" Type="http://schemas.openxmlformats.org/officeDocument/2006/relationships/hyperlink" Target="https://www.mouser.mx/c/?q=PRPC002SAAN-RC" TargetMode="External"/><Relationship Id="rId46" Type="http://schemas.openxmlformats.org/officeDocument/2006/relationships/hyperlink" Target="https://www.digikey.com.mx/es/products/result?keywords=PRPC002SAAN-RC" TargetMode="External"/><Relationship Id="rId47" Type="http://schemas.openxmlformats.org/officeDocument/2006/relationships/hyperlink" Target="https://www.snapeda.com/search/?q=PRPC002SAAN-RC" TargetMode="External"/><Relationship Id="rId48" Type="http://schemas.openxmlformats.org/officeDocument/2006/relationships/hyperlink" Target="https://uelectronics.com/producto/puente-corto-circuito-pin-header-2-54mm/" TargetMode="External"/><Relationship Id="rId49" Type="http://schemas.openxmlformats.org/officeDocument/2006/relationships/hyperlink" Target="https://www.mouser.mx/c/?q=QPC02SXGN-RC" TargetMode="External"/><Relationship Id="rId50" Type="http://schemas.openxmlformats.org/officeDocument/2006/relationships/hyperlink" Target="https://www.digikey.com.mx/es/products/result?keywords=QPC02SXGN-RC" TargetMode="External"/><Relationship Id="rId51" Type="http://schemas.openxmlformats.org/officeDocument/2006/relationships/hyperlink" Target="https://uelectronics.com/producto/neopixel-rgb-5x5mm-smd-ws2812b-b/" TargetMode="External"/><Relationship Id="rId52" Type="http://schemas.openxmlformats.org/officeDocument/2006/relationships/hyperlink" Target="https://www.lcsc.com/product-detail/C2761795.html" TargetMode="External"/><Relationship Id="rId53" Type="http://schemas.openxmlformats.org/officeDocument/2006/relationships/hyperlink" Target="https://www.mouser.mx/c/?q=WS2812B-B/T" TargetMode="External"/><Relationship Id="rId54" Type="http://schemas.openxmlformats.org/officeDocument/2006/relationships/hyperlink" Target="https://www.digikey.com.mx/es/products/result?keywords=WS2812B-B/T" TargetMode="External"/><Relationship Id="rId55" Type="http://schemas.openxmlformats.org/officeDocument/2006/relationships/hyperlink" Target="https://www.snapeda.com/search/?q=WS2812B-B/T" TargetMode="External"/><Relationship Id="rId56" Type="http://schemas.openxmlformats.org/officeDocument/2006/relationships/hyperlink" Target="https://www.lcsc.com/search?q=SN74AHCT1G125DBVR" TargetMode="External"/><Relationship Id="rId57" Type="http://schemas.openxmlformats.org/officeDocument/2006/relationships/hyperlink" Target="https://www.mouser.mx/c/?q=SN74AHCT1G125DBVR" TargetMode="External"/><Relationship Id="rId58" Type="http://schemas.openxmlformats.org/officeDocument/2006/relationships/hyperlink" Target="https://www.digikey.com.mx/es/products/result?keywords=SN74AHCT1G125DBVR" TargetMode="External"/><Relationship Id="rId59" Type="http://schemas.openxmlformats.org/officeDocument/2006/relationships/hyperlink" Target="https://www.snapeda.com/parts/SN74AHCT1G125DBVR/Texas%20Instruments/view-part/" TargetMode="External"/><Relationship Id="rId60" Type="http://schemas.openxmlformats.org/officeDocument/2006/relationships/hyperlink" Target="https://uelectronics.com/producto/resistencias-smd-0603/" TargetMode="External"/><Relationship Id="rId61" Type="http://schemas.openxmlformats.org/officeDocument/2006/relationships/hyperlink" Target="https://www.lcsc.com/search?q=0603WAF0000T5E" TargetMode="External"/><Relationship Id="rId62" Type="http://schemas.openxmlformats.org/officeDocument/2006/relationships/hyperlink" Target="https://www.mouser.mx/c/?q=0603WAF0000T5E" TargetMode="External"/><Relationship Id="rId63" Type="http://schemas.openxmlformats.org/officeDocument/2006/relationships/hyperlink" Target="https://www.digikey.com.mx/es/products/result?keywords=0603WAF0000T5E" TargetMode="External"/><Relationship Id="rId64" Type="http://schemas.openxmlformats.org/officeDocument/2006/relationships/hyperlink" Target="https://uelectronics.com/producto/led-rojo-smd-0805-ncd0805r1/" TargetMode="External"/><Relationship Id="rId65" Type="http://schemas.openxmlformats.org/officeDocument/2006/relationships/hyperlink" Target="https://www.lcsc.com/product-detail/C84256.html" TargetMode="External"/><Relationship Id="rId66" Type="http://schemas.openxmlformats.org/officeDocument/2006/relationships/hyperlink" Target="https://www.mouser.mx/c/?q=NCD0805R1" TargetMode="External"/><Relationship Id="rId67" Type="http://schemas.openxmlformats.org/officeDocument/2006/relationships/hyperlink" Target="https://www.digikey.com.mx/es/products/result?keywords=NCD0805R1" TargetMode="External"/><Relationship Id="rId68" Type="http://schemas.openxmlformats.org/officeDocument/2006/relationships/hyperlink" Target="https://www.snapeda.com/search/?q=NCD0805R1" TargetMode="External"/><Relationship Id="rId69" Type="http://schemas.openxmlformats.org/officeDocument/2006/relationships/hyperlink" Target="https://uelectronics.com/producto/buzzer-activo-3v-5v-12v-zumbador/" TargetMode="External"/><Relationship Id="rId70" Type="http://schemas.openxmlformats.org/officeDocument/2006/relationships/hyperlink" Target="https://www.mouser.mx/c/?q=AI-1223-TWT-5V-R" TargetMode="External"/><Relationship Id="rId71" Type="http://schemas.openxmlformats.org/officeDocument/2006/relationships/hyperlink" Target="https://www.digikey.com.mx/es/products/result?keywords=AI-1223-TWT-5V-R" TargetMode="External"/><Relationship Id="rId72" Type="http://schemas.openxmlformats.org/officeDocument/2006/relationships/hyperlink" Target="https://www.snapeda.com/search/?q=AI-1223-TWT-5V-R" TargetMode="External"/><Relationship Id="rId73" Type="http://schemas.openxmlformats.org/officeDocument/2006/relationships/hyperlink" Target="https://uelectronics.com/producto/transistor-npn-500ma-25v-s8050/" TargetMode="External"/><Relationship Id="rId74" Type="http://schemas.openxmlformats.org/officeDocument/2006/relationships/hyperlink" Target="https://www.lcsc.com/product-detail/C2146.html" TargetMode="External"/><Relationship Id="rId75" Type="http://schemas.openxmlformats.org/officeDocument/2006/relationships/hyperlink" Target="https://www.mouser.mx/c/?q=S8050" TargetMode="External"/><Relationship Id="rId76" Type="http://schemas.openxmlformats.org/officeDocument/2006/relationships/hyperlink" Target="https://www.digikey.com.mx/es/products/result?keywords=S8050" TargetMode="External"/><Relationship Id="rId77" Type="http://schemas.openxmlformats.org/officeDocument/2006/relationships/hyperlink" Target="https://www.snapeda.com/search/?q=S8050" TargetMode="External"/><Relationship Id="rId78" Type="http://schemas.openxmlformats.org/officeDocument/2006/relationships/hyperlink" Target="https://uelectronics.com/producto/1n4148w-diodo-75v-150ma-smd/" TargetMode="External"/><Relationship Id="rId79" Type="http://schemas.openxmlformats.org/officeDocument/2006/relationships/hyperlink" Target="https://www.lcsc.com/product-detail/C81598.html" TargetMode="External"/><Relationship Id="rId80" Type="http://schemas.openxmlformats.org/officeDocument/2006/relationships/hyperlink" Target="https://www.mouser.mx/c/?q=1N4148W" TargetMode="External"/><Relationship Id="rId81" Type="http://schemas.openxmlformats.org/officeDocument/2006/relationships/hyperlink" Target="https://www.digikey.com.mx/es/products/result?keywords=1N4148W" TargetMode="External"/><Relationship Id="rId82" Type="http://schemas.openxmlformats.org/officeDocument/2006/relationships/hyperlink" Target="https://www.snapeda.com/parts/1N4148W-7-F/Diodes%20Inc./view-part/" TargetMode="External"/><Relationship Id="rId83" Type="http://schemas.openxmlformats.org/officeDocument/2006/relationships/hyperlink" Target="https://uelectronics.com/producto/resistencias-smd-0603/" TargetMode="External"/><Relationship Id="rId84" Type="http://schemas.openxmlformats.org/officeDocument/2006/relationships/hyperlink" Target="https://www.lcsc.com/search?q=0603WAF470JT5E" TargetMode="External"/><Relationship Id="rId85" Type="http://schemas.openxmlformats.org/officeDocument/2006/relationships/hyperlink" Target="https://www.mouser.mx/c/?q=0603WAF470JT5E" TargetMode="External"/><Relationship Id="rId86" Type="http://schemas.openxmlformats.org/officeDocument/2006/relationships/hyperlink" Target="https://www.digikey.com.mx/es/products/result?keywords=0603WAF470JT5E" TargetMode="External"/><Relationship Id="rId87" Type="http://schemas.openxmlformats.org/officeDocument/2006/relationships/hyperlink" Target="https://uelectronics.com/producto/resistencias-smd-0603/" TargetMode="External"/><Relationship Id="rId88" Type="http://schemas.openxmlformats.org/officeDocument/2006/relationships/hyperlink" Target="https://www.lcsc.com/product-detail/C21190.html" TargetMode="External"/><Relationship Id="rId89" Type="http://schemas.openxmlformats.org/officeDocument/2006/relationships/hyperlink" Target="https://www.mouser.mx/c/?q=0603WAF1001T5E" TargetMode="External"/><Relationship Id="rId90" Type="http://schemas.openxmlformats.org/officeDocument/2006/relationships/hyperlink" Target="https://www.digikey.com.mx/es/products/result?keywords=0603WAF1001T5E" TargetMode="External"/><Relationship Id="rId91" Type="http://schemas.openxmlformats.org/officeDocument/2006/relationships/hyperlink" Target="https://uelectronics.com/producto/resistencias-smd-0603/" TargetMode="External"/><Relationship Id="rId92" Type="http://schemas.openxmlformats.org/officeDocument/2006/relationships/hyperlink" Target="https://www.lcsc.com/product-detail/C25804.html" TargetMode="External"/><Relationship Id="rId93" Type="http://schemas.openxmlformats.org/officeDocument/2006/relationships/hyperlink" Target="https://www.mouser.mx/c/?q=0603WAF1002T5E" TargetMode="External"/><Relationship Id="rId94" Type="http://schemas.openxmlformats.org/officeDocument/2006/relationships/hyperlink" Target="https://www.digikey.com.mx/es/products/result?keywords=0603WAF1002T5E" TargetMode="External"/><Relationship Id="rId95" Type="http://schemas.openxmlformats.org/officeDocument/2006/relationships/hyperlink" Target="https://uelectronics.com/producto/cc0805krx7r9bb104-capacitor-ceramico-0805-100nf-50v/" TargetMode="External"/><Relationship Id="rId96" Type="http://schemas.openxmlformats.org/officeDocument/2006/relationships/hyperlink" Target="https://www.lcsc.com/product-detail/C49678.html" TargetMode="External"/><Relationship Id="rId97" Type="http://schemas.openxmlformats.org/officeDocument/2006/relationships/hyperlink" Target="https://www.mouser.mx/c/?q=CC0805KRX7R9BB104" TargetMode="External"/><Relationship Id="rId98" Type="http://schemas.openxmlformats.org/officeDocument/2006/relationships/hyperlink" Target="https://www.digikey.com.mx/es/products/result?keywords=CC0805KRX7R9BB104" TargetMode="External"/><Relationship Id="rId99" Type="http://schemas.openxmlformats.org/officeDocument/2006/relationships/hyperlink" Target="https://uelectronics.com/producto/tmk212bbj106kg-t-capacitor-ceramico-0805-10uf-25v/" TargetMode="External"/><Relationship Id="rId100" Type="http://schemas.openxmlformats.org/officeDocument/2006/relationships/hyperlink" Target="https://www.lcsc.com/product-detail/C15850.html" TargetMode="External"/><Relationship Id="rId101" Type="http://schemas.openxmlformats.org/officeDocument/2006/relationships/hyperlink" Target="https://www.mouser.mx/c/?q=CL21A106KAYNNNE" TargetMode="External"/><Relationship Id="rId102" Type="http://schemas.openxmlformats.org/officeDocument/2006/relationships/hyperlink" Target="https://www.digikey.com.mx/es/products/result?keywords=CL21A106KAYNNNE" TargetMode="External"/><Relationship Id="rId103" Type="http://schemas.openxmlformats.org/officeDocument/2006/relationships/hyperlink" Target="https://uelectronics.com/producto/capacitor-ceramico-0805-1uf-50v-tcc0805x7r105k500dts/" TargetMode="External"/><Relationship Id="rId104" Type="http://schemas.openxmlformats.org/officeDocument/2006/relationships/hyperlink" Target="https://www.lcsc.com/product-detail/C28323.html" TargetMode="External"/><Relationship Id="rId105" Type="http://schemas.openxmlformats.org/officeDocument/2006/relationships/hyperlink" Target="https://www.mouser.mx/c/?q=CL21B105KBFNNNE" TargetMode="External"/><Relationship Id="rId106" Type="http://schemas.openxmlformats.org/officeDocument/2006/relationships/hyperlink" Target="https://www.digikey.com.mx/es/products/result?keywords=CL21B105KBFNNN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4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0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27"/>
    <col collapsed="false" customWidth="true" hidden="false" outlineLevel="0" max="12" min="12" style="0" width="60"/>
  </cols>
  <sheetData>
    <row r="1" customFormat="false" ht="17.35" hidden="false" customHeight="false" outlineLevel="0" collapsed="false">
      <c r="A1" s="1" t="s">
        <v>0</v>
      </c>
      <c r="J1" s="2" t="s">
        <v>1</v>
      </c>
      <c r="K1" s="3" t="n">
        <v>3</v>
      </c>
      <c r="L1" s="4" t="s">
        <v>2</v>
      </c>
    </row>
    <row r="2" customFormat="false" ht="39.75" hidden="false" customHeight="true" outlineLevel="0" collapsed="false">
      <c r="A2" s="5" t="s">
        <v>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customFormat="false" ht="39.75" hidden="false" customHeight="true" outlineLevel="0" collapsed="false">
      <c r="A3" s="6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  <c r="J3" s="6" t="s">
        <v>13</v>
      </c>
      <c r="K3" s="6" t="s">
        <v>14</v>
      </c>
      <c r="L3" s="6" t="s">
        <v>15</v>
      </c>
    </row>
    <row r="4" customFormat="false" ht="15" hidden="false" customHeight="false" outlineLevel="0" collapsed="false">
      <c r="A4" s="7" t="s">
        <v>16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customFormat="false" ht="70.5" hidden="false" customHeight="true" outlineLevel="0" collapsed="false">
      <c r="A5" s="8" t="s">
        <v>17</v>
      </c>
      <c r="B5" s="8" t="s">
        <v>18</v>
      </c>
      <c r="C5" s="8" t="s">
        <v>19</v>
      </c>
      <c r="D5" s="8" t="s">
        <v>20</v>
      </c>
      <c r="E5" s="9" t="n">
        <v>1</v>
      </c>
      <c r="F5" s="9" t="n">
        <f aca="false">IF(OR(LEFT(A5,3)="DNP",A5="PCB only"),0,E5*$K$1)</f>
        <v>3</v>
      </c>
      <c r="G5" s="10" t="s">
        <v>21</v>
      </c>
      <c r="H5" s="8" t="s">
        <v>22</v>
      </c>
      <c r="I5" s="10" t="s">
        <v>23</v>
      </c>
      <c r="J5" s="10" t="s">
        <v>24</v>
      </c>
      <c r="K5" s="10" t="s">
        <v>25</v>
      </c>
      <c r="L5" s="8" t="s">
        <v>26</v>
      </c>
    </row>
    <row r="6" customFormat="false" ht="45" hidden="false" customHeight="true" outlineLevel="0" collapsed="false">
      <c r="A6" s="11" t="s">
        <v>27</v>
      </c>
      <c r="B6" s="11" t="s">
        <v>28</v>
      </c>
      <c r="C6" s="11" t="s">
        <v>29</v>
      </c>
      <c r="D6" s="11" t="s">
        <v>30</v>
      </c>
      <c r="E6" s="12" t="n">
        <v>1</v>
      </c>
      <c r="F6" s="12" t="n">
        <f aca="false">IF(OR(LEFT(A6,3)="DNP",A6="PCB only"),0,E6*$K$1)</f>
        <v>3</v>
      </c>
      <c r="G6" s="11" t="s">
        <v>31</v>
      </c>
      <c r="H6" s="11" t="s">
        <v>22</v>
      </c>
      <c r="I6" s="13" t="s">
        <v>23</v>
      </c>
      <c r="J6" s="13" t="s">
        <v>24</v>
      </c>
      <c r="K6" s="11" t="s">
        <v>32</v>
      </c>
      <c r="L6" s="11" t="s">
        <v>33</v>
      </c>
    </row>
    <row r="7" customFormat="false" ht="45" hidden="false" customHeight="true" outlineLevel="0" collapsed="false">
      <c r="A7" s="8" t="s">
        <v>17</v>
      </c>
      <c r="B7" s="8" t="s">
        <v>34</v>
      </c>
      <c r="C7" s="8" t="s">
        <v>35</v>
      </c>
      <c r="D7" s="8" t="s">
        <v>36</v>
      </c>
      <c r="E7" s="9" t="n">
        <v>1</v>
      </c>
      <c r="F7" s="9" t="n">
        <f aca="false">IF(OR(LEFT(A7,3)="DNP",A7="PCB only"),0,E7*$K$1)</f>
        <v>3</v>
      </c>
      <c r="G7" s="10" t="s">
        <v>21</v>
      </c>
      <c r="H7" s="8" t="s">
        <v>22</v>
      </c>
      <c r="I7" s="8" t="s">
        <v>22</v>
      </c>
      <c r="J7" s="8" t="s">
        <v>22</v>
      </c>
      <c r="K7" s="8" t="s">
        <v>37</v>
      </c>
      <c r="L7" s="8" t="s">
        <v>38</v>
      </c>
    </row>
    <row r="8" customFormat="false" ht="15" hidden="false" customHeight="false" outlineLevel="0" collapsed="false">
      <c r="A8" s="7" t="s">
        <v>39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</row>
    <row r="9" customFormat="false" ht="45" hidden="false" customHeight="true" outlineLevel="0" collapsed="false">
      <c r="A9" s="8" t="s">
        <v>17</v>
      </c>
      <c r="B9" s="8" t="s">
        <v>40</v>
      </c>
      <c r="C9" s="8" t="s">
        <v>41</v>
      </c>
      <c r="D9" s="8" t="s">
        <v>42</v>
      </c>
      <c r="E9" s="9" t="n">
        <v>1</v>
      </c>
      <c r="F9" s="9" t="n">
        <f aca="false">IF(OR(LEFT(A9,3)="DNP",A9="PCB only"),0,E9*$K$1)</f>
        <v>3</v>
      </c>
      <c r="G9" s="10" t="s">
        <v>21</v>
      </c>
      <c r="H9" s="10" t="s">
        <v>43</v>
      </c>
      <c r="I9" s="10" t="s">
        <v>23</v>
      </c>
      <c r="J9" s="10" t="s">
        <v>24</v>
      </c>
      <c r="K9" s="10" t="s">
        <v>44</v>
      </c>
      <c r="L9" s="8" t="s">
        <v>45</v>
      </c>
    </row>
    <row r="10" customFormat="false" ht="31.5" hidden="false" customHeight="true" outlineLevel="0" collapsed="false">
      <c r="A10" s="14" t="s">
        <v>46</v>
      </c>
      <c r="B10" s="14" t="s">
        <v>47</v>
      </c>
      <c r="C10" s="14" t="s">
        <v>48</v>
      </c>
      <c r="D10" s="14" t="s">
        <v>49</v>
      </c>
      <c r="E10" s="15" t="n">
        <v>2</v>
      </c>
      <c r="F10" s="15" t="n">
        <f aca="false">IF(OR(LEFT(A10,3)="DNP",A10="PCB only"),0,E10*$K$1)</f>
        <v>0</v>
      </c>
      <c r="G10" s="14" t="s">
        <v>22</v>
      </c>
      <c r="H10" s="14" t="s">
        <v>22</v>
      </c>
      <c r="I10" s="14" t="s">
        <v>22</v>
      </c>
      <c r="J10" s="14" t="s">
        <v>22</v>
      </c>
      <c r="K10" s="14" t="s">
        <v>22</v>
      </c>
      <c r="L10" s="14" t="s">
        <v>50</v>
      </c>
    </row>
    <row r="11" customFormat="false" ht="15" hidden="false" customHeight="false" outlineLevel="0" collapsed="false">
      <c r="A11" s="7" t="s">
        <v>51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customFormat="false" ht="31.5" hidden="false" customHeight="true" outlineLevel="0" collapsed="false">
      <c r="A12" s="16" t="s">
        <v>52</v>
      </c>
      <c r="B12" s="16" t="s">
        <v>53</v>
      </c>
      <c r="C12" s="16" t="s">
        <v>54</v>
      </c>
      <c r="D12" s="16" t="s">
        <v>55</v>
      </c>
      <c r="E12" s="17" t="n">
        <v>1</v>
      </c>
      <c r="F12" s="17" t="n">
        <f aca="false">IF(OR(LEFT(A12,3)="DNP",A12="PCB only"),0,E12*$K$1)</f>
        <v>3</v>
      </c>
      <c r="G12" s="18" t="s">
        <v>21</v>
      </c>
      <c r="H12" s="18" t="s">
        <v>56</v>
      </c>
      <c r="I12" s="18" t="s">
        <v>23</v>
      </c>
      <c r="J12" s="18" t="s">
        <v>24</v>
      </c>
      <c r="K12" s="18" t="s">
        <v>44</v>
      </c>
      <c r="L12" s="16" t="s">
        <v>57</v>
      </c>
    </row>
    <row r="13" customFormat="false" ht="45" hidden="false" customHeight="true" outlineLevel="0" collapsed="false">
      <c r="A13" s="16" t="s">
        <v>52</v>
      </c>
      <c r="B13" s="16" t="s">
        <v>58</v>
      </c>
      <c r="C13" s="16" t="s">
        <v>59</v>
      </c>
      <c r="D13" s="16" t="s">
        <v>60</v>
      </c>
      <c r="E13" s="17" t="n">
        <v>1</v>
      </c>
      <c r="F13" s="17" t="n">
        <f aca="false">IF(OR(LEFT(A13,3)="DNP",A13="PCB only"),0,E13*$K$1)</f>
        <v>3</v>
      </c>
      <c r="G13" s="18" t="s">
        <v>21</v>
      </c>
      <c r="H13" s="18" t="s">
        <v>61</v>
      </c>
      <c r="I13" s="18" t="s">
        <v>23</v>
      </c>
      <c r="J13" s="18" t="s">
        <v>24</v>
      </c>
      <c r="K13" s="18" t="s">
        <v>62</v>
      </c>
      <c r="L13" s="16" t="s">
        <v>63</v>
      </c>
    </row>
    <row r="14" customFormat="false" ht="31.5" hidden="false" customHeight="true" outlineLevel="0" collapsed="false">
      <c r="A14" s="8" t="s">
        <v>17</v>
      </c>
      <c r="B14" s="8" t="s">
        <v>64</v>
      </c>
      <c r="C14" s="8" t="s">
        <v>65</v>
      </c>
      <c r="D14" s="8" t="s">
        <v>66</v>
      </c>
      <c r="E14" s="9" t="n">
        <v>1</v>
      </c>
      <c r="F14" s="9" t="n">
        <f aca="false">IF(OR(LEFT(A14,3)="DNP",A14="PCB only"),0,E14*$K$1)</f>
        <v>3</v>
      </c>
      <c r="G14" s="10" t="s">
        <v>21</v>
      </c>
      <c r="H14" s="10" t="s">
        <v>62</v>
      </c>
      <c r="I14" s="10" t="s">
        <v>23</v>
      </c>
      <c r="J14" s="10" t="s">
        <v>24</v>
      </c>
      <c r="K14" s="8" t="s">
        <v>67</v>
      </c>
      <c r="L14" s="8" t="s">
        <v>68</v>
      </c>
    </row>
    <row r="15" customFormat="false" ht="24" hidden="false" customHeight="true" outlineLevel="0" collapsed="false">
      <c r="A15" s="14" t="s">
        <v>69</v>
      </c>
      <c r="B15" s="14" t="s">
        <v>70</v>
      </c>
      <c r="C15" s="14" t="s">
        <v>22</v>
      </c>
      <c r="D15" s="14" t="s">
        <v>71</v>
      </c>
      <c r="E15" s="15" t="n">
        <v>2</v>
      </c>
      <c r="F15" s="15" t="n">
        <f aca="false">IF(OR(LEFT(A15,3)="DNP",A15="PCB only"),0,E15*$K$1)</f>
        <v>0</v>
      </c>
      <c r="G15" s="14" t="s">
        <v>22</v>
      </c>
      <c r="H15" s="14" t="s">
        <v>22</v>
      </c>
      <c r="I15" s="14" t="s">
        <v>22</v>
      </c>
      <c r="J15" s="14" t="s">
        <v>22</v>
      </c>
      <c r="K15" s="14" t="s">
        <v>67</v>
      </c>
      <c r="L15" s="14" t="s">
        <v>72</v>
      </c>
    </row>
    <row r="16" customFormat="false" ht="15" hidden="false" customHeight="false" outlineLevel="0" collapsed="false">
      <c r="A16" s="7" t="s">
        <v>73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</row>
    <row r="17" customFormat="false" ht="45" hidden="false" customHeight="true" outlineLevel="0" collapsed="false">
      <c r="A17" s="16" t="s">
        <v>52</v>
      </c>
      <c r="B17" s="16" t="s">
        <v>74</v>
      </c>
      <c r="C17" s="16" t="s">
        <v>75</v>
      </c>
      <c r="D17" s="16" t="s">
        <v>76</v>
      </c>
      <c r="E17" s="17" t="n">
        <v>1</v>
      </c>
      <c r="F17" s="17" t="n">
        <f aca="false">IF(OR(LEFT(A17,3)="DNP",A17="PCB only"),0,E17*$K$1)</f>
        <v>3</v>
      </c>
      <c r="G17" s="18" t="s">
        <v>21</v>
      </c>
      <c r="H17" s="18" t="s">
        <v>77</v>
      </c>
      <c r="I17" s="18" t="s">
        <v>23</v>
      </c>
      <c r="J17" s="18" t="s">
        <v>24</v>
      </c>
      <c r="K17" s="18" t="s">
        <v>62</v>
      </c>
      <c r="L17" s="16" t="s">
        <v>78</v>
      </c>
    </row>
    <row r="18" customFormat="false" ht="31.5" hidden="false" customHeight="true" outlineLevel="0" collapsed="false">
      <c r="A18" s="8" t="s">
        <v>17</v>
      </c>
      <c r="B18" s="8" t="s">
        <v>79</v>
      </c>
      <c r="C18" s="8" t="s">
        <v>80</v>
      </c>
      <c r="D18" s="8" t="s">
        <v>81</v>
      </c>
      <c r="E18" s="9" t="n">
        <v>2</v>
      </c>
      <c r="F18" s="9" t="n">
        <f aca="false">IF(OR(LEFT(A18,3)="DNP",A18="PCB only"),0,E18*$K$1)</f>
        <v>6</v>
      </c>
      <c r="G18" s="10" t="s">
        <v>21</v>
      </c>
      <c r="H18" s="8" t="s">
        <v>22</v>
      </c>
      <c r="I18" s="10" t="s">
        <v>23</v>
      </c>
      <c r="J18" s="10" t="s">
        <v>24</v>
      </c>
      <c r="K18" s="10" t="s">
        <v>62</v>
      </c>
      <c r="L18" s="8" t="s">
        <v>82</v>
      </c>
    </row>
    <row r="19" customFormat="false" ht="31.5" hidden="false" customHeight="true" outlineLevel="0" collapsed="false">
      <c r="A19" s="8" t="s">
        <v>17</v>
      </c>
      <c r="B19" s="8" t="s">
        <v>83</v>
      </c>
      <c r="C19" s="8" t="s">
        <v>84</v>
      </c>
      <c r="D19" s="8" t="s">
        <v>85</v>
      </c>
      <c r="E19" s="9" t="n">
        <v>1</v>
      </c>
      <c r="F19" s="9" t="n">
        <f aca="false">IF(OR(LEFT(A19,3)="DNP",A19="PCB only"),0,E19*$K$1)</f>
        <v>3</v>
      </c>
      <c r="G19" s="10" t="s">
        <v>21</v>
      </c>
      <c r="H19" s="8" t="s">
        <v>22</v>
      </c>
      <c r="I19" s="10" t="s">
        <v>23</v>
      </c>
      <c r="J19" s="10" t="s">
        <v>24</v>
      </c>
      <c r="K19" s="10" t="s">
        <v>62</v>
      </c>
      <c r="L19" s="8" t="s">
        <v>86</v>
      </c>
    </row>
    <row r="20" customFormat="false" ht="31.5" hidden="false" customHeight="true" outlineLevel="0" collapsed="false">
      <c r="A20" s="8" t="s">
        <v>17</v>
      </c>
      <c r="B20" s="8" t="s">
        <v>87</v>
      </c>
      <c r="C20" s="8" t="s">
        <v>88</v>
      </c>
      <c r="D20" s="8" t="s">
        <v>89</v>
      </c>
      <c r="E20" s="9" t="n">
        <v>1</v>
      </c>
      <c r="F20" s="9" t="n">
        <f aca="false">IF(OR(LEFT(A20,3)="DNP",A20="PCB only"),0,E20*$K$1)</f>
        <v>3</v>
      </c>
      <c r="G20" s="10" t="s">
        <v>21</v>
      </c>
      <c r="H20" s="8" t="s">
        <v>22</v>
      </c>
      <c r="I20" s="10" t="s">
        <v>23</v>
      </c>
      <c r="J20" s="10" t="s">
        <v>24</v>
      </c>
      <c r="K20" s="10" t="s">
        <v>62</v>
      </c>
      <c r="L20" s="8" t="s">
        <v>90</v>
      </c>
    </row>
    <row r="21" customFormat="false" ht="31.5" hidden="false" customHeight="true" outlineLevel="0" collapsed="false">
      <c r="A21" s="8" t="s">
        <v>17</v>
      </c>
      <c r="B21" s="8" t="s">
        <v>91</v>
      </c>
      <c r="C21" s="8" t="s">
        <v>92</v>
      </c>
      <c r="D21" s="8" t="s">
        <v>93</v>
      </c>
      <c r="E21" s="9" t="n">
        <v>1</v>
      </c>
      <c r="F21" s="9" t="n">
        <f aca="false">IF(OR(LEFT(A21,3)="DNP",A21="PCB only"),0,E21*$K$1)</f>
        <v>3</v>
      </c>
      <c r="G21" s="10" t="s">
        <v>21</v>
      </c>
      <c r="H21" s="8" t="s">
        <v>22</v>
      </c>
      <c r="I21" s="10" t="s">
        <v>23</v>
      </c>
      <c r="J21" s="10" t="s">
        <v>24</v>
      </c>
      <c r="K21" s="10" t="s">
        <v>62</v>
      </c>
      <c r="L21" s="8" t="s">
        <v>94</v>
      </c>
    </row>
    <row r="22" customFormat="false" ht="24" hidden="false" customHeight="true" outlineLevel="0" collapsed="false">
      <c r="A22" s="8" t="s">
        <v>17</v>
      </c>
      <c r="B22" s="8" t="s">
        <v>95</v>
      </c>
      <c r="C22" s="8" t="s">
        <v>96</v>
      </c>
      <c r="D22" s="8" t="s">
        <v>97</v>
      </c>
      <c r="E22" s="9" t="n">
        <v>1</v>
      </c>
      <c r="F22" s="9" t="n">
        <f aca="false">IF(OR(LEFT(A22,3)="DNP",A22="PCB only"),0,E22*$K$1)</f>
        <v>3</v>
      </c>
      <c r="G22" s="10" t="s">
        <v>21</v>
      </c>
      <c r="H22" s="8" t="s">
        <v>22</v>
      </c>
      <c r="I22" s="10" t="s">
        <v>23</v>
      </c>
      <c r="J22" s="10" t="s">
        <v>24</v>
      </c>
      <c r="K22" s="8" t="s">
        <v>98</v>
      </c>
      <c r="L22" s="8" t="s">
        <v>99</v>
      </c>
    </row>
    <row r="23" customFormat="false" ht="24" hidden="false" customHeight="true" outlineLevel="0" collapsed="false">
      <c r="A23" s="14" t="s">
        <v>46</v>
      </c>
      <c r="B23" s="14" t="s">
        <v>100</v>
      </c>
      <c r="C23" s="14" t="s">
        <v>48</v>
      </c>
      <c r="D23" s="14" t="s">
        <v>101</v>
      </c>
      <c r="E23" s="15" t="n">
        <v>4</v>
      </c>
      <c r="F23" s="15" t="n">
        <f aca="false">IF(OR(LEFT(A23,3)="DNP",A23="PCB only"),0,E23*$K$1)</f>
        <v>0</v>
      </c>
      <c r="G23" s="14" t="s">
        <v>22</v>
      </c>
      <c r="H23" s="14" t="s">
        <v>22</v>
      </c>
      <c r="I23" s="14" t="s">
        <v>22</v>
      </c>
      <c r="J23" s="14" t="s">
        <v>22</v>
      </c>
      <c r="K23" s="14" t="s">
        <v>22</v>
      </c>
      <c r="L23" s="14" t="s">
        <v>102</v>
      </c>
    </row>
    <row r="24" customFormat="false" ht="15" hidden="false" customHeight="false" outlineLevel="0" collapsed="false">
      <c r="A24" s="7" t="s">
        <v>103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</row>
    <row r="25" customFormat="false" ht="24" hidden="false" customHeight="true" outlineLevel="0" collapsed="false">
      <c r="A25" s="16" t="s">
        <v>52</v>
      </c>
      <c r="B25" s="16" t="s">
        <v>104</v>
      </c>
      <c r="C25" s="16" t="s">
        <v>105</v>
      </c>
      <c r="D25" s="16" t="s">
        <v>106</v>
      </c>
      <c r="E25" s="17" t="n">
        <v>3</v>
      </c>
      <c r="F25" s="17" t="n">
        <f aca="false">IF(OR(LEFT(A25,3)="DNP",A25="PCB only"),0,E25*$K$1)</f>
        <v>9</v>
      </c>
      <c r="G25" s="18" t="s">
        <v>21</v>
      </c>
      <c r="H25" s="18" t="s">
        <v>107</v>
      </c>
      <c r="I25" s="18" t="s">
        <v>23</v>
      </c>
      <c r="J25" s="18" t="s">
        <v>24</v>
      </c>
      <c r="K25" s="18" t="s">
        <v>62</v>
      </c>
      <c r="L25" s="16" t="s">
        <v>108</v>
      </c>
    </row>
    <row r="26" customFormat="false" ht="45" hidden="false" customHeight="true" outlineLevel="0" collapsed="false">
      <c r="A26" s="11" t="s">
        <v>109</v>
      </c>
      <c r="B26" s="11" t="s">
        <v>110</v>
      </c>
      <c r="C26" s="11" t="s">
        <v>111</v>
      </c>
      <c r="D26" s="11" t="s">
        <v>112</v>
      </c>
      <c r="E26" s="12" t="n">
        <v>1</v>
      </c>
      <c r="F26" s="12" t="n">
        <f aca="false">IF(OR(LEFT(A26,3)="DNP",A26="PCB only"),0,E26*$K$1)</f>
        <v>3</v>
      </c>
      <c r="G26" s="11" t="s">
        <v>22</v>
      </c>
      <c r="H26" s="13" t="s">
        <v>62</v>
      </c>
      <c r="I26" s="13" t="s">
        <v>23</v>
      </c>
      <c r="J26" s="13" t="s">
        <v>24</v>
      </c>
      <c r="K26" s="13" t="s">
        <v>44</v>
      </c>
      <c r="L26" s="11" t="s">
        <v>113</v>
      </c>
    </row>
    <row r="27" customFormat="false" ht="24" hidden="false" customHeight="true" outlineLevel="0" collapsed="false">
      <c r="A27" s="14" t="s">
        <v>69</v>
      </c>
      <c r="B27" s="14" t="s">
        <v>114</v>
      </c>
      <c r="C27" s="14" t="s">
        <v>65</v>
      </c>
      <c r="D27" s="14" t="s">
        <v>115</v>
      </c>
      <c r="E27" s="15" t="n">
        <v>1</v>
      </c>
      <c r="F27" s="15" t="n">
        <f aca="false">IF(OR(LEFT(A27,3)="DNP",A27="PCB only"),0,E27*$K$1)</f>
        <v>0</v>
      </c>
      <c r="G27" s="19" t="s">
        <v>21</v>
      </c>
      <c r="H27" s="19" t="s">
        <v>62</v>
      </c>
      <c r="I27" s="19" t="s">
        <v>23</v>
      </c>
      <c r="J27" s="19" t="s">
        <v>24</v>
      </c>
      <c r="K27" s="14" t="s">
        <v>67</v>
      </c>
      <c r="L27" s="14" t="s">
        <v>116</v>
      </c>
    </row>
    <row r="28" customFormat="false" ht="31.5" hidden="false" customHeight="true" outlineLevel="0" collapsed="false">
      <c r="A28" s="16" t="s">
        <v>52</v>
      </c>
      <c r="B28" s="16" t="s">
        <v>117</v>
      </c>
      <c r="C28" s="16" t="s">
        <v>118</v>
      </c>
      <c r="D28" s="16" t="s">
        <v>119</v>
      </c>
      <c r="E28" s="17" t="n">
        <v>3</v>
      </c>
      <c r="F28" s="17" t="n">
        <f aca="false">IF(OR(LEFT(A28,3)="DNP",A28="PCB only"),0,E28*$K$1)</f>
        <v>9</v>
      </c>
      <c r="G28" s="18" t="s">
        <v>21</v>
      </c>
      <c r="H28" s="18" t="s">
        <v>120</v>
      </c>
      <c r="I28" s="18" t="s">
        <v>23</v>
      </c>
      <c r="J28" s="18" t="s">
        <v>24</v>
      </c>
      <c r="K28" s="18" t="s">
        <v>62</v>
      </c>
      <c r="L28" s="16" t="s">
        <v>121</v>
      </c>
    </row>
    <row r="29" customFormat="false" ht="45" hidden="false" customHeight="true" outlineLevel="0" collapsed="false">
      <c r="A29" s="8" t="s">
        <v>17</v>
      </c>
      <c r="B29" s="8" t="s">
        <v>122</v>
      </c>
      <c r="C29" s="8" t="s">
        <v>123</v>
      </c>
      <c r="D29" s="8" t="s">
        <v>124</v>
      </c>
      <c r="E29" s="9" t="n">
        <v>1</v>
      </c>
      <c r="F29" s="9" t="n">
        <f aca="false">IF(OR(LEFT(A29,3)="DNP",A29="PCB only"),0,E29*$K$1)</f>
        <v>3</v>
      </c>
      <c r="G29" s="10" t="s">
        <v>21</v>
      </c>
      <c r="H29" s="8" t="s">
        <v>22</v>
      </c>
      <c r="I29" s="10" t="s">
        <v>23</v>
      </c>
      <c r="J29" s="10" t="s">
        <v>24</v>
      </c>
      <c r="K29" s="10" t="s">
        <v>62</v>
      </c>
      <c r="L29" s="8" t="s">
        <v>125</v>
      </c>
    </row>
    <row r="30" customFormat="false" ht="15" hidden="false" customHeight="false" outlineLevel="0" collapsed="false">
      <c r="A30" s="7" t="s">
        <v>126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</row>
    <row r="31" customFormat="false" ht="31.5" hidden="false" customHeight="true" outlineLevel="0" collapsed="false">
      <c r="A31" s="16" t="s">
        <v>52</v>
      </c>
      <c r="B31" s="16" t="s">
        <v>127</v>
      </c>
      <c r="C31" s="16" t="s">
        <v>128</v>
      </c>
      <c r="D31" s="16" t="s">
        <v>129</v>
      </c>
      <c r="E31" s="17" t="n">
        <v>1</v>
      </c>
      <c r="F31" s="17" t="n">
        <f aca="false">IF(OR(LEFT(A31,3)="DNP",A31="PCB only"),0,E31*$K$1)</f>
        <v>3</v>
      </c>
      <c r="G31" s="18" t="s">
        <v>21</v>
      </c>
      <c r="H31" s="18" t="s">
        <v>130</v>
      </c>
      <c r="I31" s="18" t="s">
        <v>23</v>
      </c>
      <c r="J31" s="18" t="s">
        <v>24</v>
      </c>
      <c r="K31" s="18" t="s">
        <v>62</v>
      </c>
      <c r="L31" s="16" t="s">
        <v>131</v>
      </c>
    </row>
    <row r="32" customFormat="false" ht="31.5" hidden="false" customHeight="true" outlineLevel="0" collapsed="false">
      <c r="A32" s="16" t="s">
        <v>52</v>
      </c>
      <c r="B32" s="16" t="s">
        <v>132</v>
      </c>
      <c r="C32" s="16" t="s">
        <v>133</v>
      </c>
      <c r="D32" s="16" t="s">
        <v>134</v>
      </c>
      <c r="E32" s="17" t="n">
        <v>1</v>
      </c>
      <c r="F32" s="17" t="n">
        <f aca="false">IF(OR(LEFT(A32,3)="DNP",A32="PCB only"),0,E32*$K$1)</f>
        <v>3</v>
      </c>
      <c r="G32" s="18" t="s">
        <v>21</v>
      </c>
      <c r="H32" s="18" t="s">
        <v>135</v>
      </c>
      <c r="I32" s="18" t="s">
        <v>23</v>
      </c>
      <c r="J32" s="18" t="s">
        <v>24</v>
      </c>
      <c r="K32" s="18" t="s">
        <v>136</v>
      </c>
      <c r="L32" s="16" t="s">
        <v>137</v>
      </c>
    </row>
    <row r="33" customFormat="false" ht="15" hidden="false" customHeight="false" outlineLevel="0" collapsed="false">
      <c r="A33" s="7" t="s">
        <v>138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</row>
    <row r="34" customFormat="false" ht="24" hidden="false" customHeight="true" outlineLevel="0" collapsed="false">
      <c r="A34" s="8" t="s">
        <v>17</v>
      </c>
      <c r="B34" s="8" t="s">
        <v>139</v>
      </c>
      <c r="C34" s="8" t="s">
        <v>140</v>
      </c>
      <c r="D34" s="8" t="s">
        <v>141</v>
      </c>
      <c r="E34" s="9" t="n">
        <v>1</v>
      </c>
      <c r="F34" s="9" t="n">
        <f aca="false">IF(OR(LEFT(A34,3)="DNP",A34="PCB only"),0,E34*$K$1)</f>
        <v>3</v>
      </c>
      <c r="G34" s="10" t="s">
        <v>21</v>
      </c>
      <c r="H34" s="10" t="s">
        <v>62</v>
      </c>
      <c r="I34" s="10" t="s">
        <v>23</v>
      </c>
      <c r="J34" s="10" t="s">
        <v>24</v>
      </c>
      <c r="K34" s="8" t="s">
        <v>67</v>
      </c>
      <c r="L34" s="8" t="s">
        <v>142</v>
      </c>
    </row>
    <row r="35" customFormat="false" ht="24" hidden="false" customHeight="true" outlineLevel="0" collapsed="false">
      <c r="A35" s="16" t="s">
        <v>52</v>
      </c>
      <c r="B35" s="16" t="s">
        <v>143</v>
      </c>
      <c r="C35" s="16" t="s">
        <v>144</v>
      </c>
      <c r="D35" s="16" t="s">
        <v>145</v>
      </c>
      <c r="E35" s="17" t="n">
        <v>4</v>
      </c>
      <c r="F35" s="17" t="n">
        <f aca="false">IF(OR(LEFT(A35,3)="DNP",A35="PCB only"),0,E35*$K$1)</f>
        <v>12</v>
      </c>
      <c r="G35" s="18" t="s">
        <v>21</v>
      </c>
      <c r="H35" s="18" t="s">
        <v>146</v>
      </c>
      <c r="I35" s="18" t="s">
        <v>23</v>
      </c>
      <c r="J35" s="18" t="s">
        <v>24</v>
      </c>
      <c r="K35" s="16" t="s">
        <v>67</v>
      </c>
      <c r="L35" s="16" t="s">
        <v>147</v>
      </c>
    </row>
    <row r="36" customFormat="false" ht="31.5" hidden="false" customHeight="true" outlineLevel="0" collapsed="false">
      <c r="A36" s="16" t="s">
        <v>52</v>
      </c>
      <c r="B36" s="16" t="s">
        <v>148</v>
      </c>
      <c r="C36" s="16" t="s">
        <v>149</v>
      </c>
      <c r="D36" s="16" t="s">
        <v>150</v>
      </c>
      <c r="E36" s="17" t="n">
        <v>7</v>
      </c>
      <c r="F36" s="17" t="n">
        <f aca="false">IF(OR(LEFT(A36,3)="DNP",A36="PCB only"),0,E36*$K$1)</f>
        <v>21</v>
      </c>
      <c r="G36" s="18" t="s">
        <v>21</v>
      </c>
      <c r="H36" s="18" t="s">
        <v>151</v>
      </c>
      <c r="I36" s="18" t="s">
        <v>23</v>
      </c>
      <c r="J36" s="18" t="s">
        <v>24</v>
      </c>
      <c r="K36" s="16" t="s">
        <v>67</v>
      </c>
      <c r="L36" s="16" t="s">
        <v>152</v>
      </c>
    </row>
    <row r="37" customFormat="false" ht="15" hidden="false" customHeight="false" outlineLevel="0" collapsed="false">
      <c r="A37" s="7" t="s">
        <v>153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customFormat="false" ht="24" hidden="false" customHeight="true" outlineLevel="0" collapsed="false">
      <c r="A38" s="16" t="s">
        <v>52</v>
      </c>
      <c r="B38" s="16" t="s">
        <v>154</v>
      </c>
      <c r="C38" s="16" t="s">
        <v>155</v>
      </c>
      <c r="D38" s="16" t="s">
        <v>156</v>
      </c>
      <c r="E38" s="17" t="n">
        <v>7</v>
      </c>
      <c r="F38" s="17" t="n">
        <f aca="false">IF(OR(LEFT(A38,3)="DNP",A38="PCB only"),0,E38*$K$1)</f>
        <v>21</v>
      </c>
      <c r="G38" s="18" t="s">
        <v>21</v>
      </c>
      <c r="H38" s="18" t="s">
        <v>157</v>
      </c>
      <c r="I38" s="18" t="s">
        <v>23</v>
      </c>
      <c r="J38" s="18" t="s">
        <v>24</v>
      </c>
      <c r="K38" s="16" t="s">
        <v>67</v>
      </c>
      <c r="L38" s="16" t="s">
        <v>158</v>
      </c>
    </row>
    <row r="39" customFormat="false" ht="31.5" hidden="false" customHeight="true" outlineLevel="0" collapsed="false">
      <c r="A39" s="16" t="s">
        <v>52</v>
      </c>
      <c r="B39" s="16" t="s">
        <v>159</v>
      </c>
      <c r="C39" s="16" t="s">
        <v>160</v>
      </c>
      <c r="D39" s="16" t="s">
        <v>161</v>
      </c>
      <c r="E39" s="17" t="n">
        <v>6</v>
      </c>
      <c r="F39" s="17" t="n">
        <f aca="false">IF(OR(LEFT(A39,3)="DNP",A39="PCB only"),0,E39*$K$1)</f>
        <v>18</v>
      </c>
      <c r="G39" s="18" t="s">
        <v>21</v>
      </c>
      <c r="H39" s="18" t="s">
        <v>162</v>
      </c>
      <c r="I39" s="18" t="s">
        <v>23</v>
      </c>
      <c r="J39" s="18" t="s">
        <v>24</v>
      </c>
      <c r="K39" s="16" t="s">
        <v>67</v>
      </c>
      <c r="L39" s="16" t="s">
        <v>163</v>
      </c>
    </row>
    <row r="40" customFormat="false" ht="31.5" hidden="false" customHeight="true" outlineLevel="0" collapsed="false">
      <c r="A40" s="16" t="s">
        <v>52</v>
      </c>
      <c r="B40" s="16" t="s">
        <v>164</v>
      </c>
      <c r="C40" s="16" t="s">
        <v>165</v>
      </c>
      <c r="D40" s="16" t="s">
        <v>166</v>
      </c>
      <c r="E40" s="17" t="n">
        <v>2</v>
      </c>
      <c r="F40" s="17" t="n">
        <f aca="false">IF(OR(LEFT(A40,3)="DNP",A40="PCB only"),0,E40*$K$1)</f>
        <v>6</v>
      </c>
      <c r="G40" s="18" t="s">
        <v>21</v>
      </c>
      <c r="H40" s="18" t="s">
        <v>167</v>
      </c>
      <c r="I40" s="18" t="s">
        <v>23</v>
      </c>
      <c r="J40" s="18" t="s">
        <v>24</v>
      </c>
      <c r="K40" s="16" t="s">
        <v>67</v>
      </c>
      <c r="L40" s="16" t="s">
        <v>168</v>
      </c>
    </row>
    <row r="42" customFormat="false" ht="15" hidden="false" customHeight="false" outlineLevel="0" collapsed="false">
      <c r="B42" s="20" t="s">
        <v>169</v>
      </c>
      <c r="E42" s="21" t="n">
        <f aca="false">SUMPRODUCT((LEFT(A4:A40,3)&lt;&gt;"DNP")*(A4:A40&lt;&gt;"PCB only")*(E4:E40))</f>
        <v>51</v>
      </c>
    </row>
    <row r="43" customFormat="false" ht="15" hidden="false" customHeight="false" outlineLevel="0" collapsed="false">
      <c r="B43" s="20" t="s">
        <v>170</v>
      </c>
      <c r="E43" s="21" t="n">
        <f aca="false">SUM(F4:F40)</f>
        <v>153</v>
      </c>
    </row>
    <row r="44" customFormat="false" ht="15" hidden="false" customHeight="false" outlineLevel="0" collapsed="false">
      <c r="B44" s="20" t="s">
        <v>171</v>
      </c>
      <c r="E44" s="21" t="str">
        <f aca="false">COUNTIFS(G4:G40,"UNIT*",A4:A40,"&lt;&gt;DNP*",A4:A40,"&lt;&gt;PCB only")&amp;" of "&amp;(COUNTA(C4:C40)-COUNTIF(A4:A40,"PCB only")-COUNTIF(A4:A40,"DNP*"))</f>
        <v>23 of 25</v>
      </c>
    </row>
  </sheetData>
  <mergeCells count="9">
    <mergeCell ref="A2:L2"/>
    <mergeCell ref="A4:L4"/>
    <mergeCell ref="A8:L8"/>
    <mergeCell ref="A11:L11"/>
    <mergeCell ref="A16:L16"/>
    <mergeCell ref="A24:L24"/>
    <mergeCell ref="A30:L30"/>
    <mergeCell ref="A33:L33"/>
    <mergeCell ref="A37:L37"/>
  </mergeCells>
  <hyperlinks>
    <hyperlink ref="G5" r:id="rId1" display="UNIT"/>
    <hyperlink ref="I5" r:id="rId2" display="Mouser"/>
    <hyperlink ref="J5" r:id="rId3" display="DigiKey"/>
    <hyperlink ref="K5" r:id="rId4" display="Part page (ESP32-DEVKITC)"/>
    <hyperlink ref="I6" r:id="rId5" display="Mouser"/>
    <hyperlink ref="J6" r:id="rId6" display="DigiKey"/>
    <hyperlink ref="G7" r:id="rId7" display="UNIT"/>
    <hyperlink ref="G9" r:id="rId8" display="UNIT"/>
    <hyperlink ref="H9" r:id="rId9" display="C51118"/>
    <hyperlink ref="I9" r:id="rId10" display="Mouser"/>
    <hyperlink ref="J9" r:id="rId11" display="DigiKey"/>
    <hyperlink ref="K9" r:id="rId12" display="Part page"/>
    <hyperlink ref="G12" r:id="rId13" display="UNIT"/>
    <hyperlink ref="H12" r:id="rId14" display="C6760738"/>
    <hyperlink ref="I12" r:id="rId15" display="Mouser"/>
    <hyperlink ref="J12" r:id="rId16" display="DigiKey"/>
    <hyperlink ref="K12" r:id="rId17" display="Part page"/>
    <hyperlink ref="G13" r:id="rId18" display="UNIT"/>
    <hyperlink ref="H13" r:id="rId19" display="C496549"/>
    <hyperlink ref="I13" r:id="rId20" display="Mouser"/>
    <hyperlink ref="J13" r:id="rId21" display="DigiKey"/>
    <hyperlink ref="K13" r:id="rId22" display="Search"/>
    <hyperlink ref="G14" r:id="rId23" display="UNIT"/>
    <hyperlink ref="H14" r:id="rId24" display="Search"/>
    <hyperlink ref="I14" r:id="rId25" display="Mouser"/>
    <hyperlink ref="J14" r:id="rId26" display="DigiKey"/>
    <hyperlink ref="G17" r:id="rId27" display="UNIT"/>
    <hyperlink ref="H17" r:id="rId28" display="C283232"/>
    <hyperlink ref="I17" r:id="rId29" display="Mouser"/>
    <hyperlink ref="J17" r:id="rId30" display="DigiKey"/>
    <hyperlink ref="K17" r:id="rId31" display="Search"/>
    <hyperlink ref="G18" r:id="rId32" display="UNIT"/>
    <hyperlink ref="I18" r:id="rId33" display="Mouser"/>
    <hyperlink ref="J18" r:id="rId34" display="DigiKey"/>
    <hyperlink ref="K18" r:id="rId35" display="Search"/>
    <hyperlink ref="G19" r:id="rId36" display="UNIT"/>
    <hyperlink ref="I19" r:id="rId37" display="Mouser"/>
    <hyperlink ref="J19" r:id="rId38" display="DigiKey"/>
    <hyperlink ref="K19" r:id="rId39" display="Search"/>
    <hyperlink ref="G20" r:id="rId40" display="UNIT"/>
    <hyperlink ref="I20" r:id="rId41" display="Mouser"/>
    <hyperlink ref="J20" r:id="rId42" display="DigiKey"/>
    <hyperlink ref="K20" r:id="rId43" display="Search"/>
    <hyperlink ref="G21" r:id="rId44" display="UNIT"/>
    <hyperlink ref="I21" r:id="rId45" display="Mouser"/>
    <hyperlink ref="J21" r:id="rId46" display="DigiKey"/>
    <hyperlink ref="K21" r:id="rId47" display="Search"/>
    <hyperlink ref="G22" r:id="rId48" display="UNIT"/>
    <hyperlink ref="I22" r:id="rId49" display="Mouser"/>
    <hyperlink ref="J22" r:id="rId50" display="DigiKey"/>
    <hyperlink ref="G25" r:id="rId51" display="UNIT"/>
    <hyperlink ref="H25" r:id="rId52" display="C2761795"/>
    <hyperlink ref="I25" r:id="rId53" display="Mouser"/>
    <hyperlink ref="J25" r:id="rId54" display="DigiKey"/>
    <hyperlink ref="K25" r:id="rId55" display="Search"/>
    <hyperlink ref="H26" r:id="rId56" display="Search"/>
    <hyperlink ref="I26" r:id="rId57" display="Mouser"/>
    <hyperlink ref="J26" r:id="rId58" display="DigiKey"/>
    <hyperlink ref="K26" r:id="rId59" display="Part page"/>
    <hyperlink ref="G27" r:id="rId60" display="UNIT"/>
    <hyperlink ref="H27" r:id="rId61" display="Search"/>
    <hyperlink ref="I27" r:id="rId62" display="Mouser"/>
    <hyperlink ref="J27" r:id="rId63" display="DigiKey"/>
    <hyperlink ref="G28" r:id="rId64" display="UNIT"/>
    <hyperlink ref="H28" r:id="rId65" display="C84256"/>
    <hyperlink ref="I28" r:id="rId66" display="Mouser"/>
    <hyperlink ref="J28" r:id="rId67" display="DigiKey"/>
    <hyperlink ref="K28" r:id="rId68" display="Search"/>
    <hyperlink ref="G29" r:id="rId69" display="UNIT"/>
    <hyperlink ref="I29" r:id="rId70" display="Mouser"/>
    <hyperlink ref="J29" r:id="rId71" display="DigiKey"/>
    <hyperlink ref="K29" r:id="rId72" display="Search"/>
    <hyperlink ref="G31" r:id="rId73" display="UNIT"/>
    <hyperlink ref="H31" r:id="rId74" display="C2146"/>
    <hyperlink ref="I31" r:id="rId75" display="Mouser"/>
    <hyperlink ref="J31" r:id="rId76" display="DigiKey"/>
    <hyperlink ref="K31" r:id="rId77" display="Search"/>
    <hyperlink ref="G32" r:id="rId78" display="UNIT"/>
    <hyperlink ref="H32" r:id="rId79" display="C81598"/>
    <hyperlink ref="I32" r:id="rId80" display="Mouser"/>
    <hyperlink ref="J32" r:id="rId81" display="DigiKey"/>
    <hyperlink ref="K32" r:id="rId82" display="Part page (1N4148W-7-F, SOD-123)"/>
    <hyperlink ref="G34" r:id="rId83" display="UNIT"/>
    <hyperlink ref="H34" r:id="rId84" display="Search"/>
    <hyperlink ref="I34" r:id="rId85" display="Mouser"/>
    <hyperlink ref="J34" r:id="rId86" display="DigiKey"/>
    <hyperlink ref="G35" r:id="rId87" display="UNIT"/>
    <hyperlink ref="H35" r:id="rId88" display="C21190"/>
    <hyperlink ref="I35" r:id="rId89" display="Mouser"/>
    <hyperlink ref="J35" r:id="rId90" display="DigiKey"/>
    <hyperlink ref="G36" r:id="rId91" display="UNIT"/>
    <hyperlink ref="H36" r:id="rId92" display="C25804"/>
    <hyperlink ref="I36" r:id="rId93" display="Mouser"/>
    <hyperlink ref="J36" r:id="rId94" display="DigiKey"/>
    <hyperlink ref="G38" r:id="rId95" display="UNIT"/>
    <hyperlink ref="H38" r:id="rId96" display="C49678"/>
    <hyperlink ref="I38" r:id="rId97" display="Mouser"/>
    <hyperlink ref="J38" r:id="rId98" display="DigiKey"/>
    <hyperlink ref="G39" r:id="rId99" display="UNIT"/>
    <hyperlink ref="H39" r:id="rId100" display="C15850"/>
    <hyperlink ref="I39" r:id="rId101" display="Mouser"/>
    <hyperlink ref="J39" r:id="rId102" display="DigiKey"/>
    <hyperlink ref="G40" r:id="rId103" display="UNIT"/>
    <hyperlink ref="H40" r:id="rId104" display="C28323"/>
    <hyperlink ref="I40" r:id="rId105" display="Mouser"/>
    <hyperlink ref="J40" r:id="rId106" display="DigiKey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2026-10-29T16:58:12Z</dcterms:created>
  <dc:creator>openpyxl</dc:creator>
  <dc:description/>
  <dc:language>en-US</dc:language>
  <cp:lastModifiedBy/>
  <dcterms:modified xsi:type="dcterms:W3CDTF">2026-10-29T16:58:12Z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