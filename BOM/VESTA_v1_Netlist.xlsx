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tlist" sheetId="1" state="visible" r:id="rId3"/>
    <sheet name="Net check" sheetId="2" state="visible" r:id="rId4"/>
    <sheet name="GPIO map" sheetId="3" state="visible" r:id="rId5"/>
  </sheets>
  <definedNames>
    <definedName function="false" hidden="false" localSheetId="2" name="_xlnm.Print_Titles" vbProcedure="false">'GPIO map'!$3:$3</definedName>
    <definedName function="false" hidden="false" localSheetId="1" name="_xlnm.Print_Titles" vbProcedure="false">'Net check'!$3:$3</definedName>
    <definedName function="false" hidden="false" localSheetId="0" name="_xlnm.Print_Titles" vbProcedure="false">Netlist!$3:$3</definedName>
    <definedName function="false" hidden="true" localSheetId="0" name="_xlnm._FilterDatabase" vbProcedure="false">Netlist!$A$3:$F$147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<sst xmlns="http://schemas.openxmlformats.org/spreadsheetml/2006/main" count="956" uniqueCount="272">
  <si>
    <t xml:space="preserve">VESTA v1 ground station netlist (schematic VESTA-v1-SCH-01, rev 1.0)</t>
  </si>
  <si>
    <t xml:space="preserve">Generated from the Altium export Sch_VESTA-v1.NET (Oct 29, 2026). One row per component pin, grouped by the drawn blocks of the single sheet Sch_VESTA-v1.SchDoc. Passive pins (R, C) are listed too. Orange = power net · Grey = GND or NC (not connected). If the schematic changes, re-export the .NET and regenerate.</t>
  </si>
  <si>
    <t xml:space="preserve">Schematic block</t>
  </si>
  <si>
    <t xml:space="preserve">Designator</t>
  </si>
  <si>
    <t xml:space="preserve">Pin</t>
  </si>
  <si>
    <t xml:space="preserve">Pin name</t>
  </si>
  <si>
    <t xml:space="preserve">Net</t>
  </si>
  <si>
    <t xml:space="preserve">Note</t>
  </si>
  <si>
    <t xml:space="preserve">ESP32-DevKitC V4</t>
  </si>
  <si>
    <t xml:space="preserve">MCU1</t>
  </si>
  <si>
    <t xml:space="preserve">1</t>
  </si>
  <si>
    <t xml:space="preserve">3V3</t>
  </si>
  <si>
    <t xml:space="preserve">VCC_3V3</t>
  </si>
  <si>
    <t xml:space="preserve">2</t>
  </si>
  <si>
    <t xml:space="preserve">EN</t>
  </si>
  <si>
    <t xml:space="preserve">NC</t>
  </si>
  <si>
    <t xml:space="preserve">Spare</t>
  </si>
  <si>
    <t xml:space="preserve">3</t>
  </si>
  <si>
    <t xml:space="preserve">SENSOR_VP (GPIO36)</t>
  </si>
  <si>
    <t xml:space="preserve">4</t>
  </si>
  <si>
    <t xml:space="preserve">SENSOR_VN (GPIO39)</t>
  </si>
  <si>
    <t xml:space="preserve">SD_MISO_EXT</t>
  </si>
  <si>
    <t xml:space="preserve">Input-only. Ext module's own MISO</t>
  </si>
  <si>
    <t xml:space="preserve">5</t>
  </si>
  <si>
    <t xml:space="preserve">IO34</t>
  </si>
  <si>
    <t xml:space="preserve">GPS_PPS</t>
  </si>
  <si>
    <t xml:space="preserve">Input-only</t>
  </si>
  <si>
    <t xml:space="preserve">6</t>
  </si>
  <si>
    <t xml:space="preserve">IO35</t>
  </si>
  <si>
    <t xml:space="preserve">FIX_GPS</t>
  </si>
  <si>
    <t xml:space="preserve">7</t>
  </si>
  <si>
    <t xml:space="preserve">IO32</t>
  </si>
  <si>
    <t xml:space="preserve">RFM95W_INT</t>
  </si>
  <si>
    <t xml:space="preserve">Interrupt</t>
  </si>
  <si>
    <t xml:space="preserve">8</t>
  </si>
  <si>
    <t xml:space="preserve">IO33</t>
  </si>
  <si>
    <t xml:space="preserve">9</t>
  </si>
  <si>
    <t xml:space="preserve">IO25</t>
  </si>
  <si>
    <t xml:space="preserve">RFM95W_RESET</t>
  </si>
  <si>
    <t xml:space="preserve">10</t>
  </si>
  <si>
    <t xml:space="preserve">IO26</t>
  </si>
  <si>
    <t xml:space="preserve">WS2812B_DATA</t>
  </si>
  <si>
    <t xml:space="preserve">RMT</t>
  </si>
  <si>
    <t xml:space="preserve">11</t>
  </si>
  <si>
    <t xml:space="preserve">IO27</t>
  </si>
  <si>
    <t xml:space="preserve">BUZZER</t>
  </si>
  <si>
    <t xml:space="preserve">LEDC PWM tone</t>
  </si>
  <si>
    <t xml:space="preserve">12</t>
  </si>
  <si>
    <t xml:space="preserve">IO14</t>
  </si>
  <si>
    <t xml:space="preserve">13</t>
  </si>
  <si>
    <t xml:space="preserve">IO12</t>
  </si>
  <si>
    <t xml:space="preserve">Do not connect — strapping (MTDI, 1.8 V flash if high)</t>
  </si>
  <si>
    <t xml:space="preserve">14</t>
  </si>
  <si>
    <t xml:space="preserve">GND1</t>
  </si>
  <si>
    <t xml:space="preserve">GND</t>
  </si>
  <si>
    <t xml:space="preserve">15</t>
  </si>
  <si>
    <t xml:space="preserve">IO13</t>
  </si>
  <si>
    <t xml:space="preserve">16</t>
  </si>
  <si>
    <t xml:space="preserve">SD2 (GPIO9)</t>
  </si>
  <si>
    <t xml:space="preserve">Do not connect — internal SPI flash</t>
  </si>
  <si>
    <t xml:space="preserve">17</t>
  </si>
  <si>
    <t xml:space="preserve">SD3 (GPIO10)</t>
  </si>
  <si>
    <t xml:space="preserve">18</t>
  </si>
  <si>
    <t xml:space="preserve">CMD (GPIO11)</t>
  </si>
  <si>
    <t xml:space="preserve">19</t>
  </si>
  <si>
    <t xml:space="preserve">EXT_5V</t>
  </si>
  <si>
    <t xml:space="preserve">VCC_5V</t>
  </si>
  <si>
    <t xml:space="preserve">20</t>
  </si>
  <si>
    <t xml:space="preserve">CLK (GPIO6)</t>
  </si>
  <si>
    <t xml:space="preserve">21</t>
  </si>
  <si>
    <t xml:space="preserve">SD0 (GPIO7)</t>
  </si>
  <si>
    <t xml:space="preserve">22</t>
  </si>
  <si>
    <t xml:space="preserve">SD1 (GPIO8)</t>
  </si>
  <si>
    <t xml:space="preserve">23</t>
  </si>
  <si>
    <t xml:space="preserve">IO15</t>
  </si>
  <si>
    <t xml:space="preserve">Do not connect — strapping (MTDO)</t>
  </si>
  <si>
    <t xml:space="preserve">24</t>
  </si>
  <si>
    <t xml:space="preserve">IO2</t>
  </si>
  <si>
    <t xml:space="preserve">Do not connect — strapping</t>
  </si>
  <si>
    <t xml:space="preserve">25</t>
  </si>
  <si>
    <t xml:space="preserve">IO0</t>
  </si>
  <si>
    <t xml:space="preserve">Do not connect — strapping / BOOT</t>
  </si>
  <si>
    <t xml:space="preserve">26</t>
  </si>
  <si>
    <t xml:space="preserve">IO4</t>
  </si>
  <si>
    <t xml:space="preserve">SD_CS_EXT</t>
  </si>
  <si>
    <t xml:space="preserve">27</t>
  </si>
  <si>
    <t xml:space="preserve">IO16</t>
  </si>
  <si>
    <t xml:space="preserve">GPS_UART_TX</t>
  </si>
  <si>
    <t xml:space="preserve">UART2 RX ← GPS TX</t>
  </si>
  <si>
    <t xml:space="preserve">28</t>
  </si>
  <si>
    <t xml:space="preserve">IO17</t>
  </si>
  <si>
    <t xml:space="preserve">GPS_UART_RX</t>
  </si>
  <si>
    <t xml:space="preserve">UART2 TX → GPS RX</t>
  </si>
  <si>
    <t xml:space="preserve">29</t>
  </si>
  <si>
    <t xml:space="preserve">IO5</t>
  </si>
  <si>
    <t xml:space="preserve">RFM95W_CS</t>
  </si>
  <si>
    <t xml:space="preserve">VSPI CS0 (native). Strapping pin: default high = CS idle (OK)</t>
  </si>
  <si>
    <t xml:space="preserve">30</t>
  </si>
  <si>
    <t xml:space="preserve">IO18</t>
  </si>
  <si>
    <t xml:space="preserve">SNS_SPI_SCK</t>
  </si>
  <si>
    <t xml:space="preserve">VSPI CLK (native)</t>
  </si>
  <si>
    <t xml:space="preserve">31</t>
  </si>
  <si>
    <t xml:space="preserve">IO19</t>
  </si>
  <si>
    <t xml:space="preserve">SNS_SPI_MISO</t>
  </si>
  <si>
    <t xml:space="preserve">VSPI MISO (native)</t>
  </si>
  <si>
    <t xml:space="preserve">32</t>
  </si>
  <si>
    <t xml:space="preserve">GND2</t>
  </si>
  <si>
    <t xml:space="preserve">33</t>
  </si>
  <si>
    <t xml:space="preserve">IO21</t>
  </si>
  <si>
    <t xml:space="preserve">SD_CS</t>
  </si>
  <si>
    <t xml:space="preserve">Pull-up R5</t>
  </si>
  <si>
    <t xml:space="preserve">34</t>
  </si>
  <si>
    <t xml:space="preserve">RXD0 (GPIO3)</t>
  </si>
  <si>
    <t xml:space="preserve">Do not connect — UART0 to CP2102 (USB)</t>
  </si>
  <si>
    <t xml:space="preserve">35</t>
  </si>
  <si>
    <t xml:space="preserve">TXD0 (GPIO1)</t>
  </si>
  <si>
    <t xml:space="preserve">36</t>
  </si>
  <si>
    <t xml:space="preserve">IO22</t>
  </si>
  <si>
    <t xml:space="preserve">37</t>
  </si>
  <si>
    <t xml:space="preserve">IO23</t>
  </si>
  <si>
    <t xml:space="preserve">SNS_SPI_MOSI</t>
  </si>
  <si>
    <t xml:space="preserve">VSPI MOSI (native)</t>
  </si>
  <si>
    <t xml:space="preserve">38</t>
  </si>
  <si>
    <t xml:space="preserve">GND3</t>
  </si>
  <si>
    <t xml:space="preserve">LoRa Transceiver</t>
  </si>
  <si>
    <t xml:space="preserve">C7</t>
  </si>
  <si>
    <t xml:space="preserve">C8</t>
  </si>
  <si>
    <t xml:space="preserve">J1</t>
  </si>
  <si>
    <t xml:space="preserve">SIG</t>
  </si>
  <si>
    <t xml:space="preserve">NetJ1-1</t>
  </si>
  <si>
    <t xml:space="preserve">2_1</t>
  </si>
  <si>
    <t xml:space="preserve">2_2</t>
  </si>
  <si>
    <t xml:space="preserve">2_3</t>
  </si>
  <si>
    <t xml:space="preserve">2_4</t>
  </si>
  <si>
    <t xml:space="preserve">U3</t>
  </si>
  <si>
    <t xml:space="preserve">MISO</t>
  </si>
  <si>
    <t xml:space="preserve">MOSI</t>
  </si>
  <si>
    <t xml:space="preserve">SCK</t>
  </si>
  <si>
    <t xml:space="preserve">NSS</t>
  </si>
  <si>
    <t xml:space="preserve">RESET</t>
  </si>
  <si>
    <t xml:space="preserve">DIO5</t>
  </si>
  <si>
    <t xml:space="preserve">ANT</t>
  </si>
  <si>
    <t xml:space="preserve">DIO3</t>
  </si>
  <si>
    <t xml:space="preserve">DIO4</t>
  </si>
  <si>
    <t xml:space="preserve">3.3V</t>
  </si>
  <si>
    <t xml:space="preserve">DIO0</t>
  </si>
  <si>
    <t xml:space="preserve">DIO1</t>
  </si>
  <si>
    <t xml:space="preserve">DIO2</t>
  </si>
  <si>
    <t xml:space="preserve">GPS Module</t>
  </si>
  <si>
    <t xml:space="preserve">R1</t>
  </si>
  <si>
    <t xml:space="preserve">NetR1-2</t>
  </si>
  <si>
    <t xml:space="preserve">U1</t>
  </si>
  <si>
    <t xml:space="preserve">3.3V (out)</t>
  </si>
  <si>
    <t xml:space="preserve">VBAT</t>
  </si>
  <si>
    <t xml:space="preserve">Left open: breakout has its own CR1220 holder</t>
  </si>
  <si>
    <t xml:space="preserve">FIX</t>
  </si>
  <si>
    <t xml:space="preserve">TX</t>
  </si>
  <si>
    <t xml:space="preserve">RX</t>
  </si>
  <si>
    <t xml:space="preserve">VIN</t>
  </si>
  <si>
    <t xml:space="preserve">PPS</t>
  </si>
  <si>
    <t xml:space="preserve">MicroSD Storage</t>
  </si>
  <si>
    <t xml:space="preserve">C9</t>
  </si>
  <si>
    <t xml:space="preserve">C10</t>
  </si>
  <si>
    <t xml:space="preserve">CARD1</t>
  </si>
  <si>
    <t xml:space="preserve">DAT2</t>
  </si>
  <si>
    <t xml:space="preserve">CD/DAT3</t>
  </si>
  <si>
    <t xml:space="preserve">CMD</t>
  </si>
  <si>
    <t xml:space="preserve">VDD</t>
  </si>
  <si>
    <t xml:space="preserve">CLK</t>
  </si>
  <si>
    <t xml:space="preserve">VSS</t>
  </si>
  <si>
    <t xml:space="preserve">DAT0</t>
  </si>
  <si>
    <t xml:space="preserve">DAT1</t>
  </si>
  <si>
    <t xml:space="preserve">CD (detect)</t>
  </si>
  <si>
    <t xml:space="preserve">Left open on purpose: detect switch closes to the shell (GND)</t>
  </si>
  <si>
    <t xml:space="preserve">SHELL</t>
  </si>
  <si>
    <t xml:space="preserve">J2</t>
  </si>
  <si>
    <t xml:space="preserve">01</t>
  </si>
  <si>
    <t xml:space="preserve">VCC</t>
  </si>
  <si>
    <t xml:space="preserve">02</t>
  </si>
  <si>
    <t xml:space="preserve">CS</t>
  </si>
  <si>
    <t xml:space="preserve">03</t>
  </si>
  <si>
    <t xml:space="preserve">04</t>
  </si>
  <si>
    <t xml:space="preserve">05</t>
  </si>
  <si>
    <t xml:space="preserve">06</t>
  </si>
  <si>
    <t xml:space="preserve">Pull-up Resistors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</si>
  <si>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</si>
  <si>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</si>
  <si>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</si>
  <si>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</si>
  <si>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</si>
  <si>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RGB Status Indicators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</si>
  <si>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</si>
  <si>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</si>
  <si>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</si>
  <si>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</si>
  <si>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</si>
  <si>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</si>
  <si>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LED1</t>
  </si>
  <si>
    <t xml:space="preserve">DOUT</t>
  </si>
  <si>
    <t xml:space="preserve">NetLED1-2</t>
  </si>
  <si>
    <t xml:space="preserve">DIN</t>
  </si>
  <si>
    <t xml:space="preserve">NetLED1-4</t>
  </si>
  <si>
    <t xml:space="preserve">LED2</t>
  </si>
  <si>
    <t xml:space="preserve">NetLED2-2</t>
  </si>
  <si>
    <t xml:space="preserve">LED3</t>
  </si>
  <si>
    <t xml:space="preserve">R2</t>
  </si>
  <si>
    <t xml:space="preserve">Piezo Buzzer</t>
  </si>
  <si>
    <t xml:space="preserve">D1</t>
  </si>
  <si>
    <t xml:space="preserve">A</t>
  </si>
  <si>
    <t xml:space="preserve">Anode</t>
  </si>
  <si>
    <t xml:space="preserve">NetD1_A</t>
  </si>
  <si>
    <t xml:space="preserve">C</t>
  </si>
  <si>
    <t xml:space="preserve">Cathode</t>
  </si>
  <si>
    <t xml:space="preserve">LS1</t>
  </si>
  <si>
    <t xml:space="preserve">+</t>
  </si>
  <si>
    <t xml:space="preserve">−</t>
  </si>
  <si>
    <t xml:space="preserve">Mech</t>
  </si>
  <si>
    <t xml:space="preserve">Q1</t>
  </si>
  <si>
    <t xml:space="preserve">G</t>
  </si>
  <si>
    <t xml:space="preserve">S</t>
  </si>
  <si>
    <t xml:space="preserve">D</t>
  </si>
  <si>
    <t xml:space="preserve">R3</t>
  </si>
  <si>
    <t xml:space="preserve">Net check</t>
  </si>
  <si>
    <t xml:space="preserve">Every net except NC must connect at least 2 pins. 'Pins' counts the Netlist tab live; a single-pin net is flagged.</t>
  </si>
  <si>
    <t xml:space="preserve">Pins</t>
  </si>
  <si>
    <t xml:space="preserve">Check</t>
  </si>
  <si>
    <t xml:space="preserve">Type</t>
  </si>
  <si>
    <t xml:space="preserve">Power</t>
  </si>
  <si>
    <t xml:space="preserve">Ground</t>
  </si>
  <si>
    <t xml:space="preserve">Signal</t>
  </si>
  <si>
    <t xml:space="preserve">Not connected</t>
  </si>
  <si>
    <t xml:space="preserve">Nets flagged</t>
  </si>
  <si>
    <t xml:space="preserve">Pins in netlist</t>
  </si>
  <si>
    <t xml:space="preserve">ESP32 (WROOM-32D) GPIO map</t>
  </si>
  <si>
    <t xml:space="preserve">From the MCU1 rows of the Netlist tab. Firmware defines in Firmware/VESTA_GS_v1/VESTA_GS_v1.ino use the same GPIOs.</t>
  </si>
  <si>
    <t xml:space="preserve">GPIO</t>
  </si>
  <si>
    <t xml:space="preserve">Header pin (symbol)</t>
  </si>
  <si>
    <t xml:space="preserve">Status</t>
  </si>
  <si>
    <t xml:space="preserve">25 (IO0)</t>
  </si>
  <si>
    <t xml:space="preserve">Do not connect</t>
  </si>
  <si>
    <t xml:space="preserve">35 (TXD0 (GPIO1))</t>
  </si>
  <si>
    <t xml:space="preserve">24 (IO2)</t>
  </si>
  <si>
    <t xml:space="preserve">34 (RXD0 (GPIO3))</t>
  </si>
  <si>
    <t xml:space="preserve">26 (IO4)</t>
  </si>
  <si>
    <t xml:space="preserve">Used</t>
  </si>
  <si>
    <t xml:space="preserve">29 (IO5)</t>
  </si>
  <si>
    <t xml:space="preserve">20 (CLK (GPIO6))</t>
  </si>
  <si>
    <t xml:space="preserve">21 (SD0 (GPIO7))</t>
  </si>
  <si>
    <t xml:space="preserve">22 (SD1 (GPIO8))</t>
  </si>
  <si>
    <t xml:space="preserve">16 (SD2 (GPIO9))</t>
  </si>
  <si>
    <t xml:space="preserve">17 (SD3 (GPIO10))</t>
  </si>
  <si>
    <t xml:space="preserve">18 (CMD (GPIO11))</t>
  </si>
  <si>
    <t xml:space="preserve">13 (IO12)</t>
  </si>
  <si>
    <t xml:space="preserve">15 (IO13)</t>
  </si>
  <si>
    <t xml:space="preserve">12 (IO14)</t>
  </si>
  <si>
    <t xml:space="preserve">23 (IO15)</t>
  </si>
  <si>
    <t xml:space="preserve">27 (IO16)</t>
  </si>
  <si>
    <t xml:space="preserve">28 (IO17)</t>
  </si>
  <si>
    <t xml:space="preserve">30 (IO18)</t>
  </si>
  <si>
    <t xml:space="preserve">31 (IO19)</t>
  </si>
  <si>
    <t xml:space="preserve">33 (IO21)</t>
  </si>
  <si>
    <t xml:space="preserve">36 (IO22)</t>
  </si>
  <si>
    <t xml:space="preserve">37 (IO23)</t>
  </si>
  <si>
    <t xml:space="preserve">9 (IO25)</t>
  </si>
  <si>
    <t xml:space="preserve">10 (IO26)</t>
  </si>
  <si>
    <t xml:space="preserve">11 (IO27)</t>
  </si>
  <si>
    <t xml:space="preserve">7 (IO32)</t>
  </si>
  <si>
    <t xml:space="preserve">8 (IO33)</t>
  </si>
  <si>
    <t xml:space="preserve">5 (IO34)</t>
  </si>
  <si>
    <t xml:space="preserve">6 (IO35)</t>
  </si>
  <si>
    <t xml:space="preserve">3 (SENSOR_VP (GPIO36))</t>
  </si>
  <si>
    <t xml:space="preserve">4 (SENSOR_VN (GPIO39))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</si>
</sst>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EDEDED"/>
      </patternFill>
    </fill>
    <fill>
      <patternFill patternType="solid">
        <fgColor rgb="FFEDEDED"/>
        <bgColor rgb="FFFCE4D6"/>
      </patternFill>
    </fill>
    <fill>
      <patternFill patternType="solid">
        <fgColor rgb="FFF4B6B6"/>
        <bgColor rgb="FFFF99CC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58"/>
  </cols>
  <sheetData>
    <row r="1" customFormat="false" ht="17.35" hidden="false" customHeight="false" outlineLevel="0" collapsed="false">
      <c r="A1" s="1" t="s">
        <v>0</v>
      </c>
    </row>
    <row r="2" customFormat="false" ht="37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15" hidden="false" customHeight="false" outlineLevel="0" collapsed="false">
      <c r="A4" s="4" t="s">
        <v>8</v>
      </c>
      <c r="B4" s="5" t="s">
        <v>9</v>
      </c>
      <c r="C4" s="5" t="s">
        <v>10</v>
      </c>
      <c r="D4" s="4" t="s">
        <v>11</v>
      </c>
      <c r="E4" s="6" t="s">
        <v>12</v>
      </c>
      <c r="F4" s="7"/>
    </row>
    <row r="5" customFormat="false" ht="15" hidden="false" customHeight="false" outlineLevel="0" collapsed="false">
      <c r="A5" s="8" t="s">
        <v>8</v>
      </c>
      <c r="B5" s="9" t="s">
        <v>9</v>
      </c>
      <c r="C5" s="9" t="s">
        <v>13</v>
      </c>
      <c r="D5" s="8" t="s">
        <v>14</v>
      </c>
      <c r="E5" s="10" t="s">
        <v>15</v>
      </c>
      <c r="F5" s="11" t="s">
        <v>16</v>
      </c>
    </row>
    <row r="6" customFormat="false" ht="15" hidden="false" customHeight="false" outlineLevel="0" collapsed="false">
      <c r="A6" s="8" t="s">
        <v>8</v>
      </c>
      <c r="B6" s="9" t="s">
        <v>9</v>
      </c>
      <c r="C6" s="9" t="s">
        <v>17</v>
      </c>
      <c r="D6" s="8" t="s">
        <v>18</v>
      </c>
      <c r="E6" s="10" t="s">
        <v>15</v>
      </c>
      <c r="F6" s="11" t="s">
        <v>16</v>
      </c>
    </row>
    <row r="7" customFormat="false" ht="15" hidden="false" customHeight="false" outlineLevel="0" collapsed="false">
      <c r="A7" s="12" t="s">
        <v>8</v>
      </c>
      <c r="B7" s="13" t="s">
        <v>9</v>
      </c>
      <c r="C7" s="13" t="s">
        <v>19</v>
      </c>
      <c r="D7" s="12" t="s">
        <v>20</v>
      </c>
      <c r="E7" s="14" t="s">
        <v>21</v>
      </c>
      <c r="F7" s="15" t="s">
        <v>22</v>
      </c>
    </row>
    <row r="8" customFormat="false" ht="15" hidden="false" customHeight="false" outlineLevel="0" collapsed="false">
      <c r="A8" s="12" t="s">
        <v>8</v>
      </c>
      <c r="B8" s="13" t="s">
        <v>9</v>
      </c>
      <c r="C8" s="13" t="s">
        <v>23</v>
      </c>
      <c r="D8" s="12" t="s">
        <v>24</v>
      </c>
      <c r="E8" s="14" t="s">
        <v>25</v>
      </c>
      <c r="F8" s="15" t="s">
        <v>26</v>
      </c>
    </row>
    <row r="9" customFormat="false" ht="15" hidden="false" customHeight="false" outlineLevel="0" collapsed="false">
      <c r="A9" s="12" t="s">
        <v>8</v>
      </c>
      <c r="B9" s="13" t="s">
        <v>9</v>
      </c>
      <c r="C9" s="13" t="s">
        <v>27</v>
      </c>
      <c r="D9" s="12" t="s">
        <v>28</v>
      </c>
      <c r="E9" s="14" t="s">
        <v>29</v>
      </c>
      <c r="F9" s="15" t="s">
        <v>26</v>
      </c>
    </row>
    <row r="10" customFormat="false" ht="15" hidden="false" customHeight="false" outlineLevel="0" collapsed="false">
      <c r="A10" s="12" t="s">
        <v>8</v>
      </c>
      <c r="B10" s="13" t="s">
        <v>9</v>
      </c>
      <c r="C10" s="13" t="s">
        <v>30</v>
      </c>
      <c r="D10" s="12" t="s">
        <v>31</v>
      </c>
      <c r="E10" s="14" t="s">
        <v>32</v>
      </c>
      <c r="F10" s="15" t="s">
        <v>33</v>
      </c>
    </row>
    <row r="11" customFormat="false" ht="15" hidden="false" customHeight="false" outlineLevel="0" collapsed="false">
      <c r="A11" s="8" t="s">
        <v>8</v>
      </c>
      <c r="B11" s="9" t="s">
        <v>9</v>
      </c>
      <c r="C11" s="9" t="s">
        <v>34</v>
      </c>
      <c r="D11" s="8" t="s">
        <v>35</v>
      </c>
      <c r="E11" s="10" t="s">
        <v>15</v>
      </c>
      <c r="F11" s="11" t="s">
        <v>16</v>
      </c>
    </row>
    <row r="12" customFormat="false" ht="15" hidden="false" customHeight="false" outlineLevel="0" collapsed="false">
      <c r="A12" s="12" t="s">
        <v>8</v>
      </c>
      <c r="B12" s="13" t="s">
        <v>9</v>
      </c>
      <c r="C12" s="13" t="s">
        <v>36</v>
      </c>
      <c r="D12" s="12" t="s">
        <v>37</v>
      </c>
      <c r="E12" s="14" t="s">
        <v>38</v>
      </c>
      <c r="F12" s="15"/>
    </row>
    <row r="13" customFormat="false" ht="15" hidden="false" customHeight="false" outlineLevel="0" collapsed="false">
      <c r="A13" s="12" t="s">
        <v>8</v>
      </c>
      <c r="B13" s="13" t="s">
        <v>9</v>
      </c>
      <c r="C13" s="13" t="s">
        <v>39</v>
      </c>
      <c r="D13" s="12" t="s">
        <v>40</v>
      </c>
      <c r="E13" s="14" t="s">
        <v>41</v>
      </c>
      <c r="F13" s="15" t="s">
        <v>42</v>
      </c>
    </row>
    <row r="14" customFormat="false" ht="15" hidden="false" customHeight="false" outlineLevel="0" collapsed="false">
      <c r="A14" s="12" t="s">
        <v>8</v>
      </c>
      <c r="B14" s="13" t="s">
        <v>9</v>
      </c>
      <c r="C14" s="13" t="s">
        <v>43</v>
      </c>
      <c r="D14" s="12" t="s">
        <v>44</v>
      </c>
      <c r="E14" s="14" t="s">
        <v>45</v>
      </c>
      <c r="F14" s="15" t="s">
        <v>46</v>
      </c>
    </row>
    <row r="15" customFormat="false" ht="15" hidden="false" customHeight="false" outlineLevel="0" collapsed="false">
      <c r="A15" s="8" t="s">
        <v>8</v>
      </c>
      <c r="B15" s="9" t="s">
        <v>9</v>
      </c>
      <c r="C15" s="9" t="s">
        <v>47</v>
      </c>
      <c r="D15" s="8" t="s">
        <v>48</v>
      </c>
      <c r="E15" s="10" t="s">
        <v>15</v>
      </c>
      <c r="F15" s="11" t="s">
        <v>16</v>
      </c>
    </row>
    <row r="16" customFormat="false" ht="15" hidden="false" customHeight="false" outlineLevel="0" collapsed="false">
      <c r="A16" s="8" t="s">
        <v>8</v>
      </c>
      <c r="B16" s="9" t="s">
        <v>9</v>
      </c>
      <c r="C16" s="9" t="s">
        <v>49</v>
      </c>
      <c r="D16" s="8" t="s">
        <v>50</v>
      </c>
      <c r="E16" s="10" t="s">
        <v>15</v>
      </c>
      <c r="F16" s="11" t="s">
        <v>51</v>
      </c>
    </row>
    <row r="17" customFormat="false" ht="15" hidden="false" customHeight="false" outlineLevel="0" collapsed="false">
      <c r="A17" s="8" t="s">
        <v>8</v>
      </c>
      <c r="B17" s="9" t="s">
        <v>9</v>
      </c>
      <c r="C17" s="9" t="s">
        <v>52</v>
      </c>
      <c r="D17" s="8" t="s">
        <v>53</v>
      </c>
      <c r="E17" s="10" t="s">
        <v>54</v>
      </c>
      <c r="F17" s="11"/>
    </row>
    <row r="18" customFormat="false" ht="15" hidden="false" customHeight="false" outlineLevel="0" collapsed="false">
      <c r="A18" s="8" t="s">
        <v>8</v>
      </c>
      <c r="B18" s="9" t="s">
        <v>9</v>
      </c>
      <c r="C18" s="9" t="s">
        <v>55</v>
      </c>
      <c r="D18" s="8" t="s">
        <v>56</v>
      </c>
      <c r="E18" s="10" t="s">
        <v>15</v>
      </c>
      <c r="F18" s="11" t="s">
        <v>16</v>
      </c>
    </row>
    <row r="19" customFormat="false" ht="15" hidden="false" customHeight="false" outlineLevel="0" collapsed="false">
      <c r="A19" s="8" t="s">
        <v>8</v>
      </c>
      <c r="B19" s="9" t="s">
        <v>9</v>
      </c>
      <c r="C19" s="9" t="s">
        <v>57</v>
      </c>
      <c r="D19" s="8" t="s">
        <v>58</v>
      </c>
      <c r="E19" s="10" t="s">
        <v>15</v>
      </c>
      <c r="F19" s="11" t="s">
        <v>59</v>
      </c>
    </row>
    <row r="20" customFormat="false" ht="15" hidden="false" customHeight="false" outlineLevel="0" collapsed="false">
      <c r="A20" s="8" t="s">
        <v>8</v>
      </c>
      <c r="B20" s="9" t="s">
        <v>9</v>
      </c>
      <c r="C20" s="9" t="s">
        <v>60</v>
      </c>
      <c r="D20" s="8" t="s">
        <v>61</v>
      </c>
      <c r="E20" s="10" t="s">
        <v>15</v>
      </c>
      <c r="F20" s="11" t="s">
        <v>59</v>
      </c>
    </row>
    <row r="21" customFormat="false" ht="15" hidden="false" customHeight="false" outlineLevel="0" collapsed="false">
      <c r="A21" s="8" t="s">
        <v>8</v>
      </c>
      <c r="B21" s="9" t="s">
        <v>9</v>
      </c>
      <c r="C21" s="9" t="s">
        <v>62</v>
      </c>
      <c r="D21" s="8" t="s">
        <v>63</v>
      </c>
      <c r="E21" s="10" t="s">
        <v>15</v>
      </c>
      <c r="F21" s="11" t="s">
        <v>59</v>
      </c>
    </row>
    <row r="22" customFormat="false" ht="15" hidden="false" customHeight="false" outlineLevel="0" collapsed="false">
      <c r="A22" s="4" t="s">
        <v>8</v>
      </c>
      <c r="B22" s="5" t="s">
        <v>9</v>
      </c>
      <c r="C22" s="5" t="s">
        <v>64</v>
      </c>
      <c r="D22" s="4" t="s">
        <v>65</v>
      </c>
      <c r="E22" s="6" t="s">
        <v>66</v>
      </c>
      <c r="F22" s="7"/>
    </row>
    <row r="23" customFormat="false" ht="15" hidden="false" customHeight="false" outlineLevel="0" collapsed="false">
      <c r="A23" s="8" t="s">
        <v>8</v>
      </c>
      <c r="B23" s="9" t="s">
        <v>9</v>
      </c>
      <c r="C23" s="9" t="s">
        <v>67</v>
      </c>
      <c r="D23" s="8" t="s">
        <v>68</v>
      </c>
      <c r="E23" s="10" t="s">
        <v>15</v>
      </c>
      <c r="F23" s="11" t="s">
        <v>59</v>
      </c>
    </row>
    <row r="24" customFormat="false" ht="15" hidden="false" customHeight="false" outlineLevel="0" collapsed="false">
      <c r="A24" s="8" t="s">
        <v>8</v>
      </c>
      <c r="B24" s="9" t="s">
        <v>9</v>
      </c>
      <c r="C24" s="9" t="s">
        <v>69</v>
      </c>
      <c r="D24" s="8" t="s">
        <v>70</v>
      </c>
      <c r="E24" s="10" t="s">
        <v>15</v>
      </c>
      <c r="F24" s="11" t="s">
        <v>59</v>
      </c>
    </row>
    <row r="25" customFormat="false" ht="15" hidden="false" customHeight="false" outlineLevel="0" collapsed="false">
      <c r="A25" s="8" t="s">
        <v>8</v>
      </c>
      <c r="B25" s="9" t="s">
        <v>9</v>
      </c>
      <c r="C25" s="9" t="s">
        <v>71</v>
      </c>
      <c r="D25" s="8" t="s">
        <v>72</v>
      </c>
      <c r="E25" s="10" t="s">
        <v>15</v>
      </c>
      <c r="F25" s="11" t="s">
        <v>59</v>
      </c>
    </row>
    <row r="26" customFormat="false" ht="15" hidden="false" customHeight="false" outlineLevel="0" collapsed="false">
      <c r="A26" s="8" t="s">
        <v>8</v>
      </c>
      <c r="B26" s="9" t="s">
        <v>9</v>
      </c>
      <c r="C26" s="9" t="s">
        <v>73</v>
      </c>
      <c r="D26" s="8" t="s">
        <v>74</v>
      </c>
      <c r="E26" s="10" t="s">
        <v>15</v>
      </c>
      <c r="F26" s="11" t="s">
        <v>75</v>
      </c>
    </row>
    <row r="27" customFormat="false" ht="15" hidden="false" customHeight="false" outlineLevel="0" collapsed="false">
      <c r="A27" s="8" t="s">
        <v>8</v>
      </c>
      <c r="B27" s="9" t="s">
        <v>9</v>
      </c>
      <c r="C27" s="9" t="s">
        <v>76</v>
      </c>
      <c r="D27" s="8" t="s">
        <v>77</v>
      </c>
      <c r="E27" s="10" t="s">
        <v>15</v>
      </c>
      <c r="F27" s="11" t="s">
        <v>78</v>
      </c>
    </row>
    <row r="28" customFormat="false" ht="15" hidden="false" customHeight="false" outlineLevel="0" collapsed="false">
      <c r="A28" s="8" t="s">
        <v>8</v>
      </c>
      <c r="B28" s="9" t="s">
        <v>9</v>
      </c>
      <c r="C28" s="9" t="s">
        <v>79</v>
      </c>
      <c r="D28" s="8" t="s">
        <v>80</v>
      </c>
      <c r="E28" s="10" t="s">
        <v>15</v>
      </c>
      <c r="F28" s="11" t="s">
        <v>81</v>
      </c>
    </row>
    <row r="29" customFormat="false" ht="15" hidden="false" customHeight="false" outlineLevel="0" collapsed="false">
      <c r="A29" s="12" t="s">
        <v>8</v>
      </c>
      <c r="B29" s="13" t="s">
        <v>9</v>
      </c>
      <c r="C29" s="13" t="s">
        <v>82</v>
      </c>
      <c r="D29" s="12" t="s">
        <v>83</v>
      </c>
      <c r="E29" s="14" t="s">
        <v>84</v>
      </c>
      <c r="F29" s="15"/>
    </row>
    <row r="30" customFormat="false" ht="15" hidden="false" customHeight="false" outlineLevel="0" collapsed="false">
      <c r="A30" s="12" t="s">
        <v>8</v>
      </c>
      <c r="B30" s="13" t="s">
        <v>9</v>
      </c>
      <c r="C30" s="13" t="s">
        <v>85</v>
      </c>
      <c r="D30" s="12" t="s">
        <v>86</v>
      </c>
      <c r="E30" s="14" t="s">
        <v>87</v>
      </c>
      <c r="F30" s="15" t="s">
        <v>88</v>
      </c>
    </row>
    <row r="31" customFormat="false" ht="15" hidden="false" customHeight="false" outlineLevel="0" collapsed="false">
      <c r="A31" s="12" t="s">
        <v>8</v>
      </c>
      <c r="B31" s="13" t="s">
        <v>9</v>
      </c>
      <c r="C31" s="13" t="s">
        <v>89</v>
      </c>
      <c r="D31" s="12" t="s">
        <v>90</v>
      </c>
      <c r="E31" s="14" t="s">
        <v>91</v>
      </c>
      <c r="F31" s="15" t="s">
        <v>92</v>
      </c>
    </row>
    <row r="32" customFormat="false" ht="15" hidden="false" customHeight="false" outlineLevel="0" collapsed="false">
      <c r="A32" s="12" t="s">
        <v>8</v>
      </c>
      <c r="B32" s="13" t="s">
        <v>9</v>
      </c>
      <c r="C32" s="13" t="s">
        <v>93</v>
      </c>
      <c r="D32" s="12" t="s">
        <v>94</v>
      </c>
      <c r="E32" s="14" t="s">
        <v>95</v>
      </c>
      <c r="F32" s="15" t="s">
        <v>96</v>
      </c>
    </row>
    <row r="33" customFormat="false" ht="15" hidden="false" customHeight="false" outlineLevel="0" collapsed="false">
      <c r="A33" s="12" t="s">
        <v>8</v>
      </c>
      <c r="B33" s="13" t="s">
        <v>9</v>
      </c>
      <c r="C33" s="13" t="s">
        <v>97</v>
      </c>
      <c r="D33" s="12" t="s">
        <v>98</v>
      </c>
      <c r="E33" s="14" t="s">
        <v>99</v>
      </c>
      <c r="F33" s="15" t="s">
        <v>100</v>
      </c>
    </row>
    <row r="34" customFormat="false" ht="15" hidden="false" customHeight="false" outlineLevel="0" collapsed="false">
      <c r="A34" s="12" t="s">
        <v>8</v>
      </c>
      <c r="B34" s="13" t="s">
        <v>9</v>
      </c>
      <c r="C34" s="13" t="s">
        <v>101</v>
      </c>
      <c r="D34" s="12" t="s">
        <v>102</v>
      </c>
      <c r="E34" s="14" t="s">
        <v>103</v>
      </c>
      <c r="F34" s="15" t="s">
        <v>104</v>
      </c>
    </row>
    <row r="35" customFormat="false" ht="15" hidden="false" customHeight="false" outlineLevel="0" collapsed="false">
      <c r="A35" s="8" t="s">
        <v>8</v>
      </c>
      <c r="B35" s="9" t="s">
        <v>9</v>
      </c>
      <c r="C35" s="9" t="s">
        <v>105</v>
      </c>
      <c r="D35" s="8" t="s">
        <v>106</v>
      </c>
      <c r="E35" s="10" t="s">
        <v>54</v>
      </c>
      <c r="F35" s="11"/>
    </row>
    <row r="36" customFormat="false" ht="15" hidden="false" customHeight="false" outlineLevel="0" collapsed="false">
      <c r="A36" s="12" t="s">
        <v>8</v>
      </c>
      <c r="B36" s="13" t="s">
        <v>9</v>
      </c>
      <c r="C36" s="13" t="s">
        <v>107</v>
      </c>
      <c r="D36" s="12" t="s">
        <v>108</v>
      </c>
      <c r="E36" s="14" t="s">
        <v>109</v>
      </c>
      <c r="F36" s="15" t="s">
        <v>110</v>
      </c>
    </row>
    <row r="37" customFormat="false" ht="15" hidden="false" customHeight="false" outlineLevel="0" collapsed="false">
      <c r="A37" s="8" t="s">
        <v>8</v>
      </c>
      <c r="B37" s="9" t="s">
        <v>9</v>
      </c>
      <c r="C37" s="9" t="s">
        <v>111</v>
      </c>
      <c r="D37" s="8" t="s">
        <v>112</v>
      </c>
      <c r="E37" s="10" t="s">
        <v>15</v>
      </c>
      <c r="F37" s="11" t="s">
        <v>113</v>
      </c>
    </row>
    <row r="38" customFormat="false" ht="15" hidden="false" customHeight="false" outlineLevel="0" collapsed="false">
      <c r="A38" s="8" t="s">
        <v>8</v>
      </c>
      <c r="B38" s="9" t="s">
        <v>9</v>
      </c>
      <c r="C38" s="9" t="s">
        <v>114</v>
      </c>
      <c r="D38" s="8" t="s">
        <v>115</v>
      </c>
      <c r="E38" s="10" t="s">
        <v>15</v>
      </c>
      <c r="F38" s="11" t="s">
        <v>113</v>
      </c>
    </row>
    <row r="39" customFormat="false" ht="15" hidden="false" customHeight="false" outlineLevel="0" collapsed="false">
      <c r="A39" s="8" t="s">
        <v>8</v>
      </c>
      <c r="B39" s="9" t="s">
        <v>9</v>
      </c>
      <c r="C39" s="9" t="s">
        <v>116</v>
      </c>
      <c r="D39" s="8" t="s">
        <v>117</v>
      </c>
      <c r="E39" s="10" t="s">
        <v>15</v>
      </c>
      <c r="F39" s="11" t="s">
        <v>16</v>
      </c>
    </row>
    <row r="40" customFormat="false" ht="15" hidden="false" customHeight="false" outlineLevel="0" collapsed="false">
      <c r="A40" s="12" t="s">
        <v>8</v>
      </c>
      <c r="B40" s="13" t="s">
        <v>9</v>
      </c>
      <c r="C40" s="13" t="s">
        <v>118</v>
      </c>
      <c r="D40" s="12" t="s">
        <v>119</v>
      </c>
      <c r="E40" s="14" t="s">
        <v>120</v>
      </c>
      <c r="F40" s="15" t="s">
        <v>121</v>
      </c>
    </row>
    <row r="41" customFormat="false" ht="15" hidden="false" customHeight="false" outlineLevel="0" collapsed="false">
      <c r="A41" s="8" t="s">
        <v>8</v>
      </c>
      <c r="B41" s="9" t="s">
        <v>9</v>
      </c>
      <c r="C41" s="9" t="s">
        <v>122</v>
      </c>
      <c r="D41" s="8" t="s">
        <v>123</v>
      </c>
      <c r="E41" s="10" t="s">
        <v>54</v>
      </c>
      <c r="F41" s="11"/>
    </row>
    <row r="42" customFormat="false" ht="15" hidden="false" customHeight="false" outlineLevel="0" collapsed="false">
      <c r="A42" s="4" t="s">
        <v>124</v>
      </c>
      <c r="B42" s="5" t="s">
        <v>125</v>
      </c>
      <c r="C42" s="5" t="s">
        <v>10</v>
      </c>
      <c r="D42" s="4" t="s">
        <v>10</v>
      </c>
      <c r="E42" s="6" t="s">
        <v>12</v>
      </c>
      <c r="F42" s="7"/>
    </row>
    <row r="43" customFormat="false" ht="15" hidden="false" customHeight="false" outlineLevel="0" collapsed="false">
      <c r="A43" s="8" t="s">
        <v>124</v>
      </c>
      <c r="B43" s="9" t="s">
        <v>125</v>
      </c>
      <c r="C43" s="9" t="s">
        <v>13</v>
      </c>
      <c r="D43" s="8" t="s">
        <v>13</v>
      </c>
      <c r="E43" s="10" t="s">
        <v>54</v>
      </c>
      <c r="F43" s="11"/>
    </row>
    <row r="44" customFormat="false" ht="15" hidden="false" customHeight="false" outlineLevel="0" collapsed="false">
      <c r="A44" s="4" t="s">
        <v>124</v>
      </c>
      <c r="B44" s="5" t="s">
        <v>126</v>
      </c>
      <c r="C44" s="5" t="s">
        <v>10</v>
      </c>
      <c r="D44" s="4" t="s">
        <v>10</v>
      </c>
      <c r="E44" s="6" t="s">
        <v>12</v>
      </c>
      <c r="F44" s="7"/>
    </row>
    <row r="45" customFormat="false" ht="15" hidden="false" customHeight="false" outlineLevel="0" collapsed="false">
      <c r="A45" s="8" t="s">
        <v>124</v>
      </c>
      <c r="B45" s="9" t="s">
        <v>126</v>
      </c>
      <c r="C45" s="9" t="s">
        <v>13</v>
      </c>
      <c r="D45" s="8" t="s">
        <v>13</v>
      </c>
      <c r="E45" s="10" t="s">
        <v>54</v>
      </c>
      <c r="F45" s="11"/>
    </row>
    <row r="46" customFormat="false" ht="15" hidden="false" customHeight="false" outlineLevel="0" collapsed="false">
      <c r="A46" s="12" t="s">
        <v>124</v>
      </c>
      <c r="B46" s="13" t="s">
        <v>127</v>
      </c>
      <c r="C46" s="13" t="s">
        <v>10</v>
      </c>
      <c r="D46" s="12" t="s">
        <v>128</v>
      </c>
      <c r="E46" s="14" t="s">
        <v>129</v>
      </c>
      <c r="F46" s="15"/>
    </row>
    <row r="47" customFormat="false" ht="15" hidden="false" customHeight="false" outlineLevel="0" collapsed="false">
      <c r="A47" s="8" t="s">
        <v>124</v>
      </c>
      <c r="B47" s="9" t="s">
        <v>127</v>
      </c>
      <c r="C47" s="9" t="s">
        <v>130</v>
      </c>
      <c r="D47" s="8" t="s">
        <v>54</v>
      </c>
      <c r="E47" s="10" t="s">
        <v>54</v>
      </c>
      <c r="F47" s="11"/>
    </row>
    <row r="48" customFormat="false" ht="15" hidden="false" customHeight="false" outlineLevel="0" collapsed="false">
      <c r="A48" s="8" t="s">
        <v>124</v>
      </c>
      <c r="B48" s="9" t="s">
        <v>127</v>
      </c>
      <c r="C48" s="9" t="s">
        <v>131</v>
      </c>
      <c r="D48" s="8" t="s">
        <v>54</v>
      </c>
      <c r="E48" s="10" t="s">
        <v>54</v>
      </c>
      <c r="F48" s="11"/>
    </row>
    <row r="49" customFormat="false" ht="15" hidden="false" customHeight="false" outlineLevel="0" collapsed="false">
      <c r="A49" s="8" t="s">
        <v>124</v>
      </c>
      <c r="B49" s="9" t="s">
        <v>127</v>
      </c>
      <c r="C49" s="9" t="s">
        <v>132</v>
      </c>
      <c r="D49" s="8" t="s">
        <v>54</v>
      </c>
      <c r="E49" s="10" t="s">
        <v>54</v>
      </c>
      <c r="F49" s="11"/>
    </row>
    <row r="50" customFormat="false" ht="15" hidden="false" customHeight="false" outlineLevel="0" collapsed="false">
      <c r="A50" s="8" t="s">
        <v>124</v>
      </c>
      <c r="B50" s="9" t="s">
        <v>127</v>
      </c>
      <c r="C50" s="9" t="s">
        <v>133</v>
      </c>
      <c r="D50" s="8" t="s">
        <v>54</v>
      </c>
      <c r="E50" s="10" t="s">
        <v>54</v>
      </c>
      <c r="F50" s="11"/>
    </row>
    <row r="51" customFormat="false" ht="15" hidden="false" customHeight="false" outlineLevel="0" collapsed="false">
      <c r="A51" s="8" t="s">
        <v>124</v>
      </c>
      <c r="B51" s="9" t="s">
        <v>134</v>
      </c>
      <c r="C51" s="9" t="s">
        <v>10</v>
      </c>
      <c r="D51" s="8" t="s">
        <v>54</v>
      </c>
      <c r="E51" s="10" t="s">
        <v>54</v>
      </c>
      <c r="F51" s="11"/>
    </row>
    <row r="52" customFormat="false" ht="15" hidden="false" customHeight="false" outlineLevel="0" collapsed="false">
      <c r="A52" s="12" t="s">
        <v>124</v>
      </c>
      <c r="B52" s="13" t="s">
        <v>134</v>
      </c>
      <c r="C52" s="13" t="s">
        <v>13</v>
      </c>
      <c r="D52" s="12" t="s">
        <v>135</v>
      </c>
      <c r="E52" s="14" t="s">
        <v>103</v>
      </c>
      <c r="F52" s="15"/>
    </row>
    <row r="53" customFormat="false" ht="15" hidden="false" customHeight="false" outlineLevel="0" collapsed="false">
      <c r="A53" s="12" t="s">
        <v>124</v>
      </c>
      <c r="B53" s="13" t="s">
        <v>134</v>
      </c>
      <c r="C53" s="13" t="s">
        <v>17</v>
      </c>
      <c r="D53" s="12" t="s">
        <v>136</v>
      </c>
      <c r="E53" s="14" t="s">
        <v>120</v>
      </c>
      <c r="F53" s="15"/>
    </row>
    <row r="54" customFormat="false" ht="15" hidden="false" customHeight="false" outlineLevel="0" collapsed="false">
      <c r="A54" s="12" t="s">
        <v>124</v>
      </c>
      <c r="B54" s="13" t="s">
        <v>134</v>
      </c>
      <c r="C54" s="13" t="s">
        <v>19</v>
      </c>
      <c r="D54" s="12" t="s">
        <v>137</v>
      </c>
      <c r="E54" s="14" t="s">
        <v>99</v>
      </c>
      <c r="F54" s="15"/>
    </row>
    <row r="55" customFormat="false" ht="15" hidden="false" customHeight="false" outlineLevel="0" collapsed="false">
      <c r="A55" s="12" t="s">
        <v>124</v>
      </c>
      <c r="B55" s="13" t="s">
        <v>134</v>
      </c>
      <c r="C55" s="13" t="s">
        <v>23</v>
      </c>
      <c r="D55" s="12" t="s">
        <v>138</v>
      </c>
      <c r="E55" s="14" t="s">
        <v>95</v>
      </c>
      <c r="F55" s="15"/>
    </row>
    <row r="56" customFormat="false" ht="15" hidden="false" customHeight="false" outlineLevel="0" collapsed="false">
      <c r="A56" s="12" t="s">
        <v>124</v>
      </c>
      <c r="B56" s="13" t="s">
        <v>134</v>
      </c>
      <c r="C56" s="13" t="s">
        <v>27</v>
      </c>
      <c r="D56" s="12" t="s">
        <v>139</v>
      </c>
      <c r="E56" s="14" t="s">
        <v>38</v>
      </c>
      <c r="F56" s="15"/>
    </row>
    <row r="57" customFormat="false" ht="15" hidden="false" customHeight="false" outlineLevel="0" collapsed="false">
      <c r="A57" s="8" t="s">
        <v>124</v>
      </c>
      <c r="B57" s="9" t="s">
        <v>134</v>
      </c>
      <c r="C57" s="9" t="s">
        <v>30</v>
      </c>
      <c r="D57" s="8" t="s">
        <v>140</v>
      </c>
      <c r="E57" s="10" t="s">
        <v>15</v>
      </c>
      <c r="F57" s="11"/>
    </row>
    <row r="58" customFormat="false" ht="15" hidden="false" customHeight="false" outlineLevel="0" collapsed="false">
      <c r="A58" s="8" t="s">
        <v>124</v>
      </c>
      <c r="B58" s="9" t="s">
        <v>134</v>
      </c>
      <c r="C58" s="9" t="s">
        <v>34</v>
      </c>
      <c r="D58" s="8" t="s">
        <v>54</v>
      </c>
      <c r="E58" s="10" t="s">
        <v>54</v>
      </c>
      <c r="F58" s="11"/>
    </row>
    <row r="59" customFormat="false" ht="15" hidden="false" customHeight="false" outlineLevel="0" collapsed="false">
      <c r="A59" s="12" t="s">
        <v>124</v>
      </c>
      <c r="B59" s="13" t="s">
        <v>134</v>
      </c>
      <c r="C59" s="13" t="s">
        <v>36</v>
      </c>
      <c r="D59" s="12" t="s">
        <v>141</v>
      </c>
      <c r="E59" s="14" t="s">
        <v>129</v>
      </c>
      <c r="F59" s="15"/>
    </row>
    <row r="60" customFormat="false" ht="15" hidden="false" customHeight="false" outlineLevel="0" collapsed="false">
      <c r="A60" s="8" t="s">
        <v>124</v>
      </c>
      <c r="B60" s="9" t="s">
        <v>134</v>
      </c>
      <c r="C60" s="9" t="s">
        <v>39</v>
      </c>
      <c r="D60" s="8" t="s">
        <v>54</v>
      </c>
      <c r="E60" s="10" t="s">
        <v>54</v>
      </c>
      <c r="F60" s="11"/>
    </row>
    <row r="61" customFormat="false" ht="15" hidden="false" customHeight="false" outlineLevel="0" collapsed="false">
      <c r="A61" s="8" t="s">
        <v>124</v>
      </c>
      <c r="B61" s="9" t="s">
        <v>134</v>
      </c>
      <c r="C61" s="9" t="s">
        <v>43</v>
      </c>
      <c r="D61" s="8" t="s">
        <v>142</v>
      </c>
      <c r="E61" s="10" t="s">
        <v>15</v>
      </c>
      <c r="F61" s="11"/>
    </row>
    <row r="62" customFormat="false" ht="15" hidden="false" customHeight="false" outlineLevel="0" collapsed="false">
      <c r="A62" s="8" t="s">
        <v>124</v>
      </c>
      <c r="B62" s="9" t="s">
        <v>134</v>
      </c>
      <c r="C62" s="9" t="s">
        <v>47</v>
      </c>
      <c r="D62" s="8" t="s">
        <v>143</v>
      </c>
      <c r="E62" s="10" t="s">
        <v>15</v>
      </c>
      <c r="F62" s="11"/>
    </row>
    <row r="63" customFormat="false" ht="15" hidden="false" customHeight="false" outlineLevel="0" collapsed="false">
      <c r="A63" s="4" t="s">
        <v>124</v>
      </c>
      <c r="B63" s="5" t="s">
        <v>134</v>
      </c>
      <c r="C63" s="5" t="s">
        <v>49</v>
      </c>
      <c r="D63" s="4" t="s">
        <v>144</v>
      </c>
      <c r="E63" s="6" t="s">
        <v>12</v>
      </c>
      <c r="F63" s="7"/>
    </row>
    <row r="64" customFormat="false" ht="15" hidden="false" customHeight="false" outlineLevel="0" collapsed="false">
      <c r="A64" s="12" t="s">
        <v>124</v>
      </c>
      <c r="B64" s="13" t="s">
        <v>134</v>
      </c>
      <c r="C64" s="13" t="s">
        <v>52</v>
      </c>
      <c r="D64" s="12" t="s">
        <v>145</v>
      </c>
      <c r="E64" s="14" t="s">
        <v>32</v>
      </c>
      <c r="F64" s="15"/>
    </row>
    <row r="65" customFormat="false" ht="15" hidden="false" customHeight="false" outlineLevel="0" collapsed="false">
      <c r="A65" s="8" t="s">
        <v>124</v>
      </c>
      <c r="B65" s="9" t="s">
        <v>134</v>
      </c>
      <c r="C65" s="9" t="s">
        <v>55</v>
      </c>
      <c r="D65" s="8" t="s">
        <v>146</v>
      </c>
      <c r="E65" s="10" t="s">
        <v>15</v>
      </c>
      <c r="F65" s="11"/>
    </row>
    <row r="66" customFormat="false" ht="15" hidden="false" customHeight="false" outlineLevel="0" collapsed="false">
      <c r="A66" s="8" t="s">
        <v>124</v>
      </c>
      <c r="B66" s="9" t="s">
        <v>134</v>
      </c>
      <c r="C66" s="9" t="s">
        <v>57</v>
      </c>
      <c r="D66" s="8" t="s">
        <v>147</v>
      </c>
      <c r="E66" s="10" t="s">
        <v>15</v>
      </c>
      <c r="F66" s="11"/>
    </row>
    <row r="67" customFormat="false" ht="15" hidden="false" customHeight="false" outlineLevel="0" collapsed="false">
      <c r="A67" s="4" t="s">
        <v>148</v>
      </c>
      <c r="B67" s="5" t="s">
        <v>149</v>
      </c>
      <c r="C67" s="5" t="s">
        <v>10</v>
      </c>
      <c r="D67" s="4" t="s">
        <v>10</v>
      </c>
      <c r="E67" s="6" t="s">
        <v>12</v>
      </c>
      <c r="F67" s="7"/>
    </row>
    <row r="68" customFormat="false" ht="15" hidden="false" customHeight="false" outlineLevel="0" collapsed="false">
      <c r="A68" s="12" t="s">
        <v>148</v>
      </c>
      <c r="B68" s="13" t="s">
        <v>149</v>
      </c>
      <c r="C68" s="13" t="s">
        <v>13</v>
      </c>
      <c r="D68" s="12" t="s">
        <v>13</v>
      </c>
      <c r="E68" s="14" t="s">
        <v>150</v>
      </c>
      <c r="F68" s="15"/>
    </row>
    <row r="69" customFormat="false" ht="15" hidden="false" customHeight="false" outlineLevel="0" collapsed="false">
      <c r="A69" s="8" t="s">
        <v>148</v>
      </c>
      <c r="B69" s="9" t="s">
        <v>151</v>
      </c>
      <c r="C69" s="9" t="s">
        <v>10</v>
      </c>
      <c r="D69" s="8" t="s">
        <v>152</v>
      </c>
      <c r="E69" s="10" t="s">
        <v>15</v>
      </c>
      <c r="F69" s="11"/>
    </row>
    <row r="70" customFormat="false" ht="15" hidden="false" customHeight="false" outlineLevel="0" collapsed="false">
      <c r="A70" s="12" t="s">
        <v>148</v>
      </c>
      <c r="B70" s="13" t="s">
        <v>151</v>
      </c>
      <c r="C70" s="13" t="s">
        <v>13</v>
      </c>
      <c r="D70" s="12" t="s">
        <v>14</v>
      </c>
      <c r="E70" s="14" t="s">
        <v>150</v>
      </c>
      <c r="F70" s="15"/>
    </row>
    <row r="71" customFormat="false" ht="15" hidden="false" customHeight="false" outlineLevel="0" collapsed="false">
      <c r="A71" s="8" t="s">
        <v>148</v>
      </c>
      <c r="B71" s="9" t="s">
        <v>151</v>
      </c>
      <c r="C71" s="9" t="s">
        <v>17</v>
      </c>
      <c r="D71" s="8" t="s">
        <v>153</v>
      </c>
      <c r="E71" s="10" t="s">
        <v>15</v>
      </c>
      <c r="F71" s="11" t="s">
        <v>154</v>
      </c>
    </row>
    <row r="72" customFormat="false" ht="15" hidden="false" customHeight="false" outlineLevel="0" collapsed="false">
      <c r="A72" s="12" t="s">
        <v>148</v>
      </c>
      <c r="B72" s="13" t="s">
        <v>151</v>
      </c>
      <c r="C72" s="13" t="s">
        <v>19</v>
      </c>
      <c r="D72" s="12" t="s">
        <v>155</v>
      </c>
      <c r="E72" s="14" t="s">
        <v>29</v>
      </c>
      <c r="F72" s="15"/>
    </row>
    <row r="73" customFormat="false" ht="15" hidden="false" customHeight="false" outlineLevel="0" collapsed="false">
      <c r="A73" s="12" t="s">
        <v>148</v>
      </c>
      <c r="B73" s="13" t="s">
        <v>151</v>
      </c>
      <c r="C73" s="13" t="s">
        <v>23</v>
      </c>
      <c r="D73" s="12" t="s">
        <v>156</v>
      </c>
      <c r="E73" s="14" t="s">
        <v>87</v>
      </c>
      <c r="F73" s="15"/>
    </row>
    <row r="74" customFormat="false" ht="15" hidden="false" customHeight="false" outlineLevel="0" collapsed="false">
      <c r="A74" s="12" t="s">
        <v>148</v>
      </c>
      <c r="B74" s="13" t="s">
        <v>151</v>
      </c>
      <c r="C74" s="13" t="s">
        <v>27</v>
      </c>
      <c r="D74" s="12" t="s">
        <v>157</v>
      </c>
      <c r="E74" s="14" t="s">
        <v>91</v>
      </c>
      <c r="F74" s="15"/>
    </row>
    <row r="75" customFormat="false" ht="15" hidden="false" customHeight="false" outlineLevel="0" collapsed="false">
      <c r="A75" s="8" t="s">
        <v>148</v>
      </c>
      <c r="B75" s="9" t="s">
        <v>151</v>
      </c>
      <c r="C75" s="9" t="s">
        <v>30</v>
      </c>
      <c r="D75" s="8" t="s">
        <v>54</v>
      </c>
      <c r="E75" s="10" t="s">
        <v>54</v>
      </c>
      <c r="F75" s="11"/>
    </row>
    <row r="76" customFormat="false" ht="15" hidden="false" customHeight="false" outlineLevel="0" collapsed="false">
      <c r="A76" s="4" t="s">
        <v>148</v>
      </c>
      <c r="B76" s="5" t="s">
        <v>151</v>
      </c>
      <c r="C76" s="5" t="s">
        <v>34</v>
      </c>
      <c r="D76" s="4" t="s">
        <v>158</v>
      </c>
      <c r="E76" s="6" t="s">
        <v>12</v>
      </c>
      <c r="F76" s="7"/>
    </row>
    <row r="77" customFormat="false" ht="15" hidden="false" customHeight="false" outlineLevel="0" collapsed="false">
      <c r="A77" s="12" t="s">
        <v>148</v>
      </c>
      <c r="B77" s="13" t="s">
        <v>151</v>
      </c>
      <c r="C77" s="13" t="s">
        <v>36</v>
      </c>
      <c r="D77" s="12" t="s">
        <v>159</v>
      </c>
      <c r="E77" s="14" t="s">
        <v>25</v>
      </c>
      <c r="F77" s="15"/>
    </row>
    <row r="78" customFormat="false" ht="15" hidden="false" customHeight="false" outlineLevel="0" collapsed="false">
      <c r="A78" s="4" t="s">
        <v>160</v>
      </c>
      <c r="B78" s="5" t="s">
        <v>161</v>
      </c>
      <c r="C78" s="5" t="s">
        <v>10</v>
      </c>
      <c r="D78" s="4" t="s">
        <v>10</v>
      </c>
      <c r="E78" s="6" t="s">
        <v>12</v>
      </c>
      <c r="F78" s="7"/>
    </row>
    <row r="79" customFormat="false" ht="15" hidden="false" customHeight="false" outlineLevel="0" collapsed="false">
      <c r="A79" s="8" t="s">
        <v>160</v>
      </c>
      <c r="B79" s="9" t="s">
        <v>161</v>
      </c>
      <c r="C79" s="9" t="s">
        <v>13</v>
      </c>
      <c r="D79" s="8" t="s">
        <v>13</v>
      </c>
      <c r="E79" s="10" t="s">
        <v>54</v>
      </c>
      <c r="F79" s="11"/>
    </row>
    <row r="80" customFormat="false" ht="15" hidden="false" customHeight="false" outlineLevel="0" collapsed="false">
      <c r="A80" s="4" t="s">
        <v>160</v>
      </c>
      <c r="B80" s="5" t="s">
        <v>162</v>
      </c>
      <c r="C80" s="5" t="s">
        <v>10</v>
      </c>
      <c r="D80" s="4" t="s">
        <v>10</v>
      </c>
      <c r="E80" s="6" t="s">
        <v>12</v>
      </c>
      <c r="F80" s="7"/>
    </row>
    <row r="81" customFormat="false" ht="15" hidden="false" customHeight="false" outlineLevel="0" collapsed="false">
      <c r="A81" s="8" t="s">
        <v>160</v>
      </c>
      <c r="B81" s="9" t="s">
        <v>162</v>
      </c>
      <c r="C81" s="9" t="s">
        <v>13</v>
      </c>
      <c r="D81" s="8" t="s">
        <v>13</v>
      </c>
      <c r="E81" s="10" t="s">
        <v>54</v>
      </c>
      <c r="F81" s="11"/>
    </row>
    <row r="82" customFormat="false" ht="15" hidden="false" customHeight="false" outlineLevel="0" collapsed="false">
      <c r="A82" s="12" t="s">
        <v>160</v>
      </c>
      <c r="B82" s="13" t="s">
        <v>163</v>
      </c>
      <c r="C82" s="13" t="s">
        <v>10</v>
      </c>
      <c r="D82" s="12" t="s">
        <v>164</v>
      </c>
      <c r="E82" s="14" t="s">
        <v>164</v>
      </c>
      <c r="F82" s="15"/>
    </row>
    <row r="83" customFormat="false" ht="15" hidden="false" customHeight="false" outlineLevel="0" collapsed="false">
      <c r="A83" s="12" t="s">
        <v>160</v>
      </c>
      <c r="B83" s="13" t="s">
        <v>163</v>
      </c>
      <c r="C83" s="13" t="s">
        <v>13</v>
      </c>
      <c r="D83" s="12" t="s">
        <v>165</v>
      </c>
      <c r="E83" s="14" t="s">
        <v>109</v>
      </c>
      <c r="F83" s="15"/>
    </row>
    <row r="84" customFormat="false" ht="15" hidden="false" customHeight="false" outlineLevel="0" collapsed="false">
      <c r="A84" s="12" t="s">
        <v>160</v>
      </c>
      <c r="B84" s="13" t="s">
        <v>163</v>
      </c>
      <c r="C84" s="13" t="s">
        <v>17</v>
      </c>
      <c r="D84" s="12" t="s">
        <v>166</v>
      </c>
      <c r="E84" s="14" t="s">
        <v>120</v>
      </c>
      <c r="F84" s="15"/>
    </row>
    <row r="85" customFormat="false" ht="15" hidden="false" customHeight="false" outlineLevel="0" collapsed="false">
      <c r="A85" s="4" t="s">
        <v>160</v>
      </c>
      <c r="B85" s="5" t="s">
        <v>163</v>
      </c>
      <c r="C85" s="5" t="s">
        <v>19</v>
      </c>
      <c r="D85" s="4" t="s">
        <v>167</v>
      </c>
      <c r="E85" s="6" t="s">
        <v>12</v>
      </c>
      <c r="F85" s="7"/>
    </row>
    <row r="86" customFormat="false" ht="15" hidden="false" customHeight="false" outlineLevel="0" collapsed="false">
      <c r="A86" s="12" t="s">
        <v>160</v>
      </c>
      <c r="B86" s="13" t="s">
        <v>163</v>
      </c>
      <c r="C86" s="13" t="s">
        <v>23</v>
      </c>
      <c r="D86" s="12" t="s">
        <v>168</v>
      </c>
      <c r="E86" s="14" t="s">
        <v>99</v>
      </c>
      <c r="F86" s="15"/>
    </row>
    <row r="87" customFormat="false" ht="15" hidden="false" customHeight="false" outlineLevel="0" collapsed="false">
      <c r="A87" s="8" t="s">
        <v>160</v>
      </c>
      <c r="B87" s="9" t="s">
        <v>163</v>
      </c>
      <c r="C87" s="9" t="s">
        <v>27</v>
      </c>
      <c r="D87" s="8" t="s">
        <v>169</v>
      </c>
      <c r="E87" s="10" t="s">
        <v>54</v>
      </c>
      <c r="F87" s="11"/>
    </row>
    <row r="88" customFormat="false" ht="15" hidden="false" customHeight="false" outlineLevel="0" collapsed="false">
      <c r="A88" s="12" t="s">
        <v>160</v>
      </c>
      <c r="B88" s="13" t="s">
        <v>163</v>
      </c>
      <c r="C88" s="13" t="s">
        <v>30</v>
      </c>
      <c r="D88" s="12" t="s">
        <v>170</v>
      </c>
      <c r="E88" s="14" t="s">
        <v>103</v>
      </c>
      <c r="F88" s="15"/>
    </row>
    <row r="89" customFormat="false" ht="15" hidden="false" customHeight="false" outlineLevel="0" collapsed="false">
      <c r="A89" s="12" t="s">
        <v>160</v>
      </c>
      <c r="B89" s="13" t="s">
        <v>163</v>
      </c>
      <c r="C89" s="13" t="s">
        <v>34</v>
      </c>
      <c r="D89" s="12" t="s">
        <v>171</v>
      </c>
      <c r="E89" s="14" t="s">
        <v>171</v>
      </c>
      <c r="F89" s="15"/>
    </row>
    <row r="90" customFormat="false" ht="15" hidden="false" customHeight="false" outlineLevel="0" collapsed="false">
      <c r="A90" s="8" t="s">
        <v>160</v>
      </c>
      <c r="B90" s="9" t="s">
        <v>163</v>
      </c>
      <c r="C90" s="9" t="s">
        <v>36</v>
      </c>
      <c r="D90" s="8" t="s">
        <v>172</v>
      </c>
      <c r="E90" s="10" t="s">
        <v>15</v>
      </c>
      <c r="F90" s="11" t="s">
        <v>173</v>
      </c>
    </row>
    <row r="91" customFormat="false" ht="15" hidden="false" customHeight="false" outlineLevel="0" collapsed="false">
      <c r="A91" s="8" t="s">
        <v>160</v>
      </c>
      <c r="B91" s="9" t="s">
        <v>163</v>
      </c>
      <c r="C91" s="9" t="s">
        <v>39</v>
      </c>
      <c r="D91" s="8" t="s">
        <v>174</v>
      </c>
      <c r="E91" s="10" t="s">
        <v>54</v>
      </c>
      <c r="F91" s="11"/>
    </row>
    <row r="92" customFormat="false" ht="15" hidden="false" customHeight="false" outlineLevel="0" collapsed="false">
      <c r="A92" s="8" t="s">
        <v>160</v>
      </c>
      <c r="B92" s="9" t="s">
        <v>163</v>
      </c>
      <c r="C92" s="9" t="s">
        <v>43</v>
      </c>
      <c r="D92" s="8" t="s">
        <v>174</v>
      </c>
      <c r="E92" s="10" t="s">
        <v>54</v>
      </c>
      <c r="F92" s="11"/>
    </row>
    <row r="93" customFormat="false" ht="15" hidden="false" customHeight="false" outlineLevel="0" collapsed="false">
      <c r="A93" s="8" t="s">
        <v>160</v>
      </c>
      <c r="B93" s="9" t="s">
        <v>163</v>
      </c>
      <c r="C93" s="9" t="s">
        <v>47</v>
      </c>
      <c r="D93" s="8" t="s">
        <v>174</v>
      </c>
      <c r="E93" s="10" t="s">
        <v>54</v>
      </c>
      <c r="F93" s="11"/>
    </row>
    <row r="94" customFormat="false" ht="15" hidden="false" customHeight="false" outlineLevel="0" collapsed="false">
      <c r="A94" s="8" t="s">
        <v>160</v>
      </c>
      <c r="B94" s="9" t="s">
        <v>163</v>
      </c>
      <c r="C94" s="9" t="s">
        <v>49</v>
      </c>
      <c r="D94" s="8" t="s">
        <v>174</v>
      </c>
      <c r="E94" s="10" t="s">
        <v>54</v>
      </c>
      <c r="F94" s="11"/>
    </row>
    <row r="95" customFormat="false" ht="15" hidden="false" customHeight="false" outlineLevel="0" collapsed="false">
      <c r="A95" s="4" t="s">
        <v>160</v>
      </c>
      <c r="B95" s="5" t="s">
        <v>175</v>
      </c>
      <c r="C95" s="5" t="s">
        <v>176</v>
      </c>
      <c r="D95" s="4" t="s">
        <v>177</v>
      </c>
      <c r="E95" s="6" t="s">
        <v>12</v>
      </c>
      <c r="F95" s="7"/>
    </row>
    <row r="96" customFormat="false" ht="15" hidden="false" customHeight="false" outlineLevel="0" collapsed="false">
      <c r="A96" s="12" t="s">
        <v>160</v>
      </c>
      <c r="B96" s="13" t="s">
        <v>175</v>
      </c>
      <c r="C96" s="13" t="s">
        <v>178</v>
      </c>
      <c r="D96" s="12" t="s">
        <v>179</v>
      </c>
      <c r="E96" s="14" t="s">
        <v>84</v>
      </c>
      <c r="F96" s="15"/>
    </row>
    <row r="97" customFormat="false" ht="15" hidden="false" customHeight="false" outlineLevel="0" collapsed="false">
      <c r="A97" s="12" t="s">
        <v>160</v>
      </c>
      <c r="B97" s="13" t="s">
        <v>175</v>
      </c>
      <c r="C97" s="13" t="s">
        <v>180</v>
      </c>
      <c r="D97" s="12" t="s">
        <v>136</v>
      </c>
      <c r="E97" s="14" t="s">
        <v>120</v>
      </c>
      <c r="F97" s="15"/>
    </row>
    <row r="98" customFormat="false" ht="15" hidden="false" customHeight="false" outlineLevel="0" collapsed="false">
      <c r="A98" s="12" t="s">
        <v>160</v>
      </c>
      <c r="B98" s="13" t="s">
        <v>175</v>
      </c>
      <c r="C98" s="13" t="s">
        <v>181</v>
      </c>
      <c r="D98" s="12" t="s">
        <v>137</v>
      </c>
      <c r="E98" s="14" t="s">
        <v>99</v>
      </c>
      <c r="F98" s="15"/>
    </row>
    <row r="99" customFormat="false" ht="15" hidden="false" customHeight="false" outlineLevel="0" collapsed="false">
      <c r="A99" s="12" t="s">
        <v>160</v>
      </c>
      <c r="B99" s="13" t="s">
        <v>175</v>
      </c>
      <c r="C99" s="13" t="s">
        <v>182</v>
      </c>
      <c r="D99" s="12" t="s">
        <v>135</v>
      </c>
      <c r="E99" s="14" t="s">
        <v>21</v>
      </c>
      <c r="F99" s="15"/>
    </row>
    <row r="100" customFormat="false" ht="15" hidden="false" customHeight="false" outlineLevel="0" collapsed="false">
      <c r="A100" s="8" t="s">
        <v>160</v>
      </c>
      <c r="B100" s="9" t="s">
        <v>175</v>
      </c>
      <c r="C100" s="9" t="s">
        <v>183</v>
      </c>
      <c r="D100" s="8" t="s">
        <v>54</v>
      </c>
      <c r="E100" s="10" t="s">
        <v>54</v>
      </c>
      <c r="F100" s="11"/>
    </row>
    <row r="101" customFormat="false" ht="15" hidden="false" customHeight="false" outlineLevel="0" collapsed="false">
      <c r="A101" s="4" t="s">
        <v>184</v>
      </c>
      <c r="B101" s="5" t="s">
        <v>185</v>
      </c>
      <c r="C101" s="5" t="s">
        <v>10</v>
      </c>
      <c r="D101" s="4" t="s">
        <v>10</v>
      </c>
      <c r="E101" s="6" t="s">
        <v>12</v>
      </c>
      <c r="F101" s="7"/>
    </row>
    <row r="102" customFormat="false" ht="15" hidden="false" customHeight="false" outlineLevel="0" collapsed="false">
      <c r="A102" s="12" t="s">
        <v>184</v>
      </c>
      <c r="B102" s="13" t="s">
        <v>185</v>
      </c>
      <c r="C102" s="13" t="s">
        <v>13</v>
      </c>
      <c r="D102" s="12" t="s">
        <v>13</v>
      </c>
      <c r="E102" s="14" t="s">
        <v>120</v>
      </c>
      <c r="F102" s="15"/>
    </row>
    <row r="103" customFormat="false" ht="15" hidden="false" customHeight="false" outlineLevel="0" collapsed="false">
      <c r="A103" s="4" t="s">
        <v>184</v>
      </c>
      <c r="B103" s="5" t="s">
        <v>186</v>
      </c>
      <c r="C103" s="5" t="s">
        <v>10</v>
      </c>
      <c r="D103" s="4" t="s">
        <v>10</v>
      </c>
      <c r="E103" s="6" t="s">
        <v>12</v>
      </c>
      <c r="F103" s="7"/>
    </row>
    <row r="104" customFormat="false" ht="15" hidden="false" customHeight="false" outlineLevel="0" collapsed="false">
      <c r="A104" s="12" t="s">
        <v>184</v>
      </c>
      <c r="B104" s="13" t="s">
        <v>186</v>
      </c>
      <c r="C104" s="13" t="s">
        <v>13</v>
      </c>
      <c r="D104" s="12" t="s">
        <v>13</v>
      </c>
      <c r="E104" s="14" t="s">
        <v>109</v>
      </c>
      <c r="F104" s="15"/>
    </row>
    <row r="105" customFormat="false" ht="15" hidden="false" customHeight="false" outlineLevel="0" collapsed="false">
      <c r="A105" s="4" t="s">
        <v>184</v>
      </c>
      <c r="B105" s="5" t="s">
        <v>187</v>
      </c>
      <c r="C105" s="5" t="s">
        <v>10</v>
      </c>
      <c r="D105" s="4" t="s">
        <v>10</v>
      </c>
      <c r="E105" s="6" t="s">
        <v>12</v>
      </c>
      <c r="F105" s="7"/>
    </row>
    <row r="106" customFormat="false" ht="15" hidden="false" customHeight="false" outlineLevel="0" collapsed="false">
      <c r="A106" s="12" t="s">
        <v>184</v>
      </c>
      <c r="B106" s="13" t="s">
        <v>187</v>
      </c>
      <c r="C106" s="13" t="s">
        <v>13</v>
      </c>
      <c r="D106" s="12" t="s">
        <v>13</v>
      </c>
      <c r="E106" s="14" t="s">
        <v>103</v>
      </c>
      <c r="F106" s="15"/>
    </row>
    <row r="107" customFormat="false" ht="15" hidden="false" customHeight="false" outlineLevel="0" collapsed="false">
      <c r="A107" s="4" t="s">
        <v>184</v>
      </c>
      <c r="B107" s="5" t="s">
        <v>188</v>
      </c>
      <c r="C107" s="5" t="s">
        <v>10</v>
      </c>
      <c r="D107" s="4" t="s">
        <v>10</v>
      </c>
      <c r="E107" s="6" t="s">
        <v>12</v>
      </c>
      <c r="F107" s="7"/>
    </row>
    <row r="108" customFormat="false" ht="15" hidden="false" customHeight="false" outlineLevel="0" collapsed="false">
      <c r="A108" s="12" t="s">
        <v>184</v>
      </c>
      <c r="B108" s="13" t="s">
        <v>188</v>
      </c>
      <c r="C108" s="13" t="s">
        <v>13</v>
      </c>
      <c r="D108" s="12" t="s">
        <v>13</v>
      </c>
      <c r="E108" s="14" t="s">
        <v>171</v>
      </c>
      <c r="F108" s="15"/>
    </row>
    <row r="109" customFormat="false" ht="15" hidden="false" customHeight="false" outlineLevel="0" collapsed="false">
      <c r="A109" s="4" t="s">
        <v>184</v>
      </c>
      <c r="B109" s="5" t="s">
        <v>189</v>
      </c>
      <c r="C109" s="5" t="s">
        <v>10</v>
      </c>
      <c r="D109" s="4" t="s">
        <v>10</v>
      </c>
      <c r="E109" s="6" t="s">
        <v>12</v>
      </c>
      <c r="F109" s="7"/>
    </row>
    <row r="110" customFormat="false" ht="15" hidden="false" customHeight="false" outlineLevel="0" collapsed="false">
      <c r="A110" s="12" t="s">
        <v>184</v>
      </c>
      <c r="B110" s="13" t="s">
        <v>189</v>
      </c>
      <c r="C110" s="13" t="s">
        <v>13</v>
      </c>
      <c r="D110" s="12" t="s">
        <v>13</v>
      </c>
      <c r="E110" s="14" t="s">
        <v>164</v>
      </c>
      <c r="F110" s="15"/>
    </row>
    <row r="111" customFormat="false" ht="15" hidden="false" customHeight="false" outlineLevel="0" collapsed="false">
      <c r="A111" s="4" t="s">
        <v>190</v>
      </c>
      <c r="B111" s="5" t="s">
        <v>191</v>
      </c>
      <c r="C111" s="5" t="s">
        <v>10</v>
      </c>
      <c r="D111" s="4" t="s">
        <v>10</v>
      </c>
      <c r="E111" s="6" t="s">
        <v>12</v>
      </c>
      <c r="F111" s="7"/>
    </row>
    <row r="112" customFormat="false" ht="15" hidden="false" customHeight="false" outlineLevel="0" collapsed="false">
      <c r="A112" s="8" t="s">
        <v>190</v>
      </c>
      <c r="B112" s="9" t="s">
        <v>191</v>
      </c>
      <c r="C112" s="9" t="s">
        <v>13</v>
      </c>
      <c r="D112" s="8" t="s">
        <v>13</v>
      </c>
      <c r="E112" s="10" t="s">
        <v>54</v>
      </c>
      <c r="F112" s="11"/>
    </row>
    <row r="113" customFormat="false" ht="15" hidden="false" customHeight="false" outlineLevel="0" collapsed="false">
      <c r="A113" s="4" t="s">
        <v>190</v>
      </c>
      <c r="B113" s="5" t="s">
        <v>192</v>
      </c>
      <c r="C113" s="5" t="s">
        <v>10</v>
      </c>
      <c r="D113" s="4" t="s">
        <v>10</v>
      </c>
      <c r="E113" s="6" t="s">
        <v>12</v>
      </c>
      <c r="F113" s="7"/>
    </row>
    <row r="114" customFormat="false" ht="15" hidden="false" customHeight="false" outlineLevel="0" collapsed="false">
      <c r="A114" s="8" t="s">
        <v>190</v>
      </c>
      <c r="B114" s="9" t="s">
        <v>192</v>
      </c>
      <c r="C114" s="9" t="s">
        <v>13</v>
      </c>
      <c r="D114" s="8" t="s">
        <v>13</v>
      </c>
      <c r="E114" s="10" t="s">
        <v>54</v>
      </c>
      <c r="F114" s="11"/>
    </row>
    <row r="115" customFormat="false" ht="15" hidden="false" customHeight="false" outlineLevel="0" collapsed="false">
      <c r="A115" s="4" t="s">
        <v>190</v>
      </c>
      <c r="B115" s="5" t="s">
        <v>193</v>
      </c>
      <c r="C115" s="5" t="s">
        <v>10</v>
      </c>
      <c r="D115" s="4" t="s">
        <v>10</v>
      </c>
      <c r="E115" s="6" t="s">
        <v>12</v>
      </c>
      <c r="F115" s="7"/>
    </row>
    <row r="116" customFormat="false" ht="15" hidden="false" customHeight="false" outlineLevel="0" collapsed="false">
      <c r="A116" s="8" t="s">
        <v>190</v>
      </c>
      <c r="B116" s="9" t="s">
        <v>193</v>
      </c>
      <c r="C116" s="9" t="s">
        <v>13</v>
      </c>
      <c r="D116" s="8" t="s">
        <v>13</v>
      </c>
      <c r="E116" s="10" t="s">
        <v>54</v>
      </c>
      <c r="F116" s="11"/>
    </row>
    <row r="117" customFormat="false" ht="15" hidden="false" customHeight="false" outlineLevel="0" collapsed="false">
      <c r="A117" s="4" t="s">
        <v>190</v>
      </c>
      <c r="B117" s="5" t="s">
        <v>194</v>
      </c>
      <c r="C117" s="5" t="s">
        <v>10</v>
      </c>
      <c r="D117" s="4" t="s">
        <v>10</v>
      </c>
      <c r="E117" s="6" t="s">
        <v>12</v>
      </c>
      <c r="F117" s="7"/>
    </row>
    <row r="118" customFormat="false" ht="15" hidden="false" customHeight="false" outlineLevel="0" collapsed="false">
      <c r="A118" s="8" t="s">
        <v>190</v>
      </c>
      <c r="B118" s="9" t="s">
        <v>194</v>
      </c>
      <c r="C118" s="9" t="s">
        <v>13</v>
      </c>
      <c r="D118" s="8" t="s">
        <v>13</v>
      </c>
      <c r="E118" s="10" t="s">
        <v>54</v>
      </c>
      <c r="F118" s="11"/>
    </row>
    <row r="119" customFormat="false" ht="15" hidden="false" customHeight="false" outlineLevel="0" collapsed="false">
      <c r="A119" s="4" t="s">
        <v>190</v>
      </c>
      <c r="B119" s="5" t="s">
        <v>195</v>
      </c>
      <c r="C119" s="5" t="s">
        <v>10</v>
      </c>
      <c r="D119" s="4" t="s">
        <v>10</v>
      </c>
      <c r="E119" s="6" t="s">
        <v>12</v>
      </c>
      <c r="F119" s="7"/>
    </row>
    <row r="120" customFormat="false" ht="15" hidden="false" customHeight="false" outlineLevel="0" collapsed="false">
      <c r="A120" s="8" t="s">
        <v>190</v>
      </c>
      <c r="B120" s="9" t="s">
        <v>195</v>
      </c>
      <c r="C120" s="9" t="s">
        <v>13</v>
      </c>
      <c r="D120" s="8" t="s">
        <v>13</v>
      </c>
      <c r="E120" s="10" t="s">
        <v>54</v>
      </c>
      <c r="F120" s="11"/>
    </row>
    <row r="121" customFormat="false" ht="15" hidden="false" customHeight="false" outlineLevel="0" collapsed="false">
      <c r="A121" s="4" t="s">
        <v>190</v>
      </c>
      <c r="B121" s="5" t="s">
        <v>196</v>
      </c>
      <c r="C121" s="5" t="s">
        <v>10</v>
      </c>
      <c r="D121" s="4" t="s">
        <v>10</v>
      </c>
      <c r="E121" s="6" t="s">
        <v>12</v>
      </c>
      <c r="F121" s="7"/>
    </row>
    <row r="122" customFormat="false" ht="15" hidden="false" customHeight="false" outlineLevel="0" collapsed="false">
      <c r="A122" s="8" t="s">
        <v>190</v>
      </c>
      <c r="B122" s="9" t="s">
        <v>196</v>
      </c>
      <c r="C122" s="9" t="s">
        <v>13</v>
      </c>
      <c r="D122" s="8" t="s">
        <v>13</v>
      </c>
      <c r="E122" s="10" t="s">
        <v>54</v>
      </c>
      <c r="F122" s="11"/>
    </row>
    <row r="123" customFormat="false" ht="15" hidden="false" customHeight="false" outlineLevel="0" collapsed="false">
      <c r="A123" s="4" t="s">
        <v>190</v>
      </c>
      <c r="B123" s="5" t="s">
        <v>197</v>
      </c>
      <c r="C123" s="5" t="s">
        <v>10</v>
      </c>
      <c r="D123" s="4" t="s">
        <v>167</v>
      </c>
      <c r="E123" s="6" t="s">
        <v>12</v>
      </c>
      <c r="F123" s="7"/>
    </row>
    <row r="124" customFormat="false" ht="15" hidden="false" customHeight="false" outlineLevel="0" collapsed="false">
      <c r="A124" s="12" t="s">
        <v>190</v>
      </c>
      <c r="B124" s="13" t="s">
        <v>197</v>
      </c>
      <c r="C124" s="13" t="s">
        <v>13</v>
      </c>
      <c r="D124" s="12" t="s">
        <v>198</v>
      </c>
      <c r="E124" s="14" t="s">
        <v>199</v>
      </c>
      <c r="F124" s="15"/>
    </row>
    <row r="125" customFormat="false" ht="15" hidden="false" customHeight="false" outlineLevel="0" collapsed="false">
      <c r="A125" s="8" t="s">
        <v>190</v>
      </c>
      <c r="B125" s="9" t="s">
        <v>197</v>
      </c>
      <c r="C125" s="9" t="s">
        <v>17</v>
      </c>
      <c r="D125" s="8" t="s">
        <v>169</v>
      </c>
      <c r="E125" s="10" t="s">
        <v>54</v>
      </c>
      <c r="F125" s="11"/>
    </row>
    <row r="126" customFormat="false" ht="15" hidden="false" customHeight="false" outlineLevel="0" collapsed="false">
      <c r="A126" s="12" t="s">
        <v>190</v>
      </c>
      <c r="B126" s="13" t="s">
        <v>197</v>
      </c>
      <c r="C126" s="13" t="s">
        <v>19</v>
      </c>
      <c r="D126" s="12" t="s">
        <v>200</v>
      </c>
      <c r="E126" s="14" t="s">
        <v>201</v>
      </c>
      <c r="F126" s="15"/>
    </row>
    <row r="127" customFormat="false" ht="15" hidden="false" customHeight="false" outlineLevel="0" collapsed="false">
      <c r="A127" s="4" t="s">
        <v>190</v>
      </c>
      <c r="B127" s="5" t="s">
        <v>202</v>
      </c>
      <c r="C127" s="5" t="s">
        <v>10</v>
      </c>
      <c r="D127" s="4" t="s">
        <v>167</v>
      </c>
      <c r="E127" s="6" t="s">
        <v>12</v>
      </c>
      <c r="F127" s="7"/>
    </row>
    <row r="128" customFormat="false" ht="15" hidden="false" customHeight="false" outlineLevel="0" collapsed="false">
      <c r="A128" s="12" t="s">
        <v>190</v>
      </c>
      <c r="B128" s="13" t="s">
        <v>202</v>
      </c>
      <c r="C128" s="13" t="s">
        <v>13</v>
      </c>
      <c r="D128" s="12" t="s">
        <v>198</v>
      </c>
      <c r="E128" s="14" t="s">
        <v>203</v>
      </c>
      <c r="F128" s="15"/>
    </row>
    <row r="129" customFormat="false" ht="15" hidden="false" customHeight="false" outlineLevel="0" collapsed="false">
      <c r="A129" s="8" t="s">
        <v>190</v>
      </c>
      <c r="B129" s="9" t="s">
        <v>202</v>
      </c>
      <c r="C129" s="9" t="s">
        <v>17</v>
      </c>
      <c r="D129" s="8" t="s">
        <v>169</v>
      </c>
      <c r="E129" s="10" t="s">
        <v>54</v>
      </c>
      <c r="F129" s="11"/>
    </row>
    <row r="130" customFormat="false" ht="15" hidden="false" customHeight="false" outlineLevel="0" collapsed="false">
      <c r="A130" s="12" t="s">
        <v>190</v>
      </c>
      <c r="B130" s="13" t="s">
        <v>202</v>
      </c>
      <c r="C130" s="13" t="s">
        <v>19</v>
      </c>
      <c r="D130" s="12" t="s">
        <v>200</v>
      </c>
      <c r="E130" s="14" t="s">
        <v>199</v>
      </c>
      <c r="F130" s="15"/>
    </row>
    <row r="131" customFormat="false" ht="15" hidden="false" customHeight="false" outlineLevel="0" collapsed="false">
      <c r="A131" s="4" t="s">
        <v>190</v>
      </c>
      <c r="B131" s="5" t="s">
        <v>204</v>
      </c>
      <c r="C131" s="5" t="s">
        <v>10</v>
      </c>
      <c r="D131" s="4" t="s">
        <v>167</v>
      </c>
      <c r="E131" s="6" t="s">
        <v>12</v>
      </c>
      <c r="F131" s="7"/>
    </row>
    <row r="132" customFormat="false" ht="15" hidden="false" customHeight="false" outlineLevel="0" collapsed="false">
      <c r="A132" s="8" t="s">
        <v>190</v>
      </c>
      <c r="B132" s="9" t="s">
        <v>204</v>
      </c>
      <c r="C132" s="9" t="s">
        <v>13</v>
      </c>
      <c r="D132" s="8" t="s">
        <v>198</v>
      </c>
      <c r="E132" s="10" t="s">
        <v>15</v>
      </c>
      <c r="F132" s="11"/>
    </row>
    <row r="133" customFormat="false" ht="15" hidden="false" customHeight="false" outlineLevel="0" collapsed="false">
      <c r="A133" s="8" t="s">
        <v>190</v>
      </c>
      <c r="B133" s="9" t="s">
        <v>204</v>
      </c>
      <c r="C133" s="9" t="s">
        <v>17</v>
      </c>
      <c r="D133" s="8" t="s">
        <v>169</v>
      </c>
      <c r="E133" s="10" t="s">
        <v>54</v>
      </c>
      <c r="F133" s="11"/>
    </row>
    <row r="134" customFormat="false" ht="15" hidden="false" customHeight="false" outlineLevel="0" collapsed="false">
      <c r="A134" s="12" t="s">
        <v>190</v>
      </c>
      <c r="B134" s="13" t="s">
        <v>204</v>
      </c>
      <c r="C134" s="13" t="s">
        <v>19</v>
      </c>
      <c r="D134" s="12" t="s">
        <v>200</v>
      </c>
      <c r="E134" s="14" t="s">
        <v>203</v>
      </c>
      <c r="F134" s="15"/>
    </row>
    <row r="135" customFormat="false" ht="15" hidden="false" customHeight="false" outlineLevel="0" collapsed="false">
      <c r="A135" s="12" t="s">
        <v>190</v>
      </c>
      <c r="B135" s="13" t="s">
        <v>205</v>
      </c>
      <c r="C135" s="13" t="s">
        <v>10</v>
      </c>
      <c r="D135" s="12" t="s">
        <v>10</v>
      </c>
      <c r="E135" s="14" t="s">
        <v>41</v>
      </c>
      <c r="F135" s="15"/>
    </row>
    <row r="136" customFormat="false" ht="15" hidden="false" customHeight="false" outlineLevel="0" collapsed="false">
      <c r="A136" s="12" t="s">
        <v>190</v>
      </c>
      <c r="B136" s="13" t="s">
        <v>205</v>
      </c>
      <c r="C136" s="13" t="s">
        <v>13</v>
      </c>
      <c r="D136" s="12" t="s">
        <v>13</v>
      </c>
      <c r="E136" s="14" t="s">
        <v>201</v>
      </c>
      <c r="F136" s="15"/>
    </row>
    <row r="137" customFormat="false" ht="15" hidden="false" customHeight="false" outlineLevel="0" collapsed="false">
      <c r="A137" s="12" t="s">
        <v>206</v>
      </c>
      <c r="B137" s="13" t="s">
        <v>207</v>
      </c>
      <c r="C137" s="13" t="s">
        <v>208</v>
      </c>
      <c r="D137" s="12" t="s">
        <v>209</v>
      </c>
      <c r="E137" s="14" t="s">
        <v>210</v>
      </c>
      <c r="F137" s="15"/>
    </row>
    <row r="138" customFormat="false" ht="15" hidden="false" customHeight="false" outlineLevel="0" collapsed="false">
      <c r="A138" s="4" t="s">
        <v>206</v>
      </c>
      <c r="B138" s="5" t="s">
        <v>207</v>
      </c>
      <c r="C138" s="5" t="s">
        <v>211</v>
      </c>
      <c r="D138" s="4" t="s">
        <v>212</v>
      </c>
      <c r="E138" s="6" t="s">
        <v>66</v>
      </c>
      <c r="F138" s="7"/>
    </row>
    <row r="139" customFormat="false" ht="15" hidden="false" customHeight="false" outlineLevel="0" collapsed="false">
      <c r="A139" s="4" t="s">
        <v>206</v>
      </c>
      <c r="B139" s="5" t="s">
        <v>213</v>
      </c>
      <c r="C139" s="5" t="s">
        <v>10</v>
      </c>
      <c r="D139" s="4" t="s">
        <v>214</v>
      </c>
      <c r="E139" s="6" t="s">
        <v>66</v>
      </c>
      <c r="F139" s="7"/>
    </row>
    <row r="140" customFormat="false" ht="15" hidden="false" customHeight="false" outlineLevel="0" collapsed="false">
      <c r="A140" s="12" t="s">
        <v>206</v>
      </c>
      <c r="B140" s="13" t="s">
        <v>213</v>
      </c>
      <c r="C140" s="13" t="s">
        <v>13</v>
      </c>
      <c r="D140" s="12" t="s">
        <v>215</v>
      </c>
      <c r="E140" s="14" t="s">
        <v>210</v>
      </c>
      <c r="F140" s="15"/>
    </row>
    <row r="141" customFormat="false" ht="15" hidden="false" customHeight="false" outlineLevel="0" collapsed="false">
      <c r="A141" s="8" t="s">
        <v>206</v>
      </c>
      <c r="B141" s="9" t="s">
        <v>213</v>
      </c>
      <c r="C141" s="9" t="s">
        <v>17</v>
      </c>
      <c r="D141" s="8" t="s">
        <v>216</v>
      </c>
      <c r="E141" s="10" t="s">
        <v>54</v>
      </c>
      <c r="F141" s="11"/>
    </row>
    <row r="142" customFormat="false" ht="15" hidden="false" customHeight="false" outlineLevel="0" collapsed="false">
      <c r="A142" s="8" t="s">
        <v>206</v>
      </c>
      <c r="B142" s="9" t="s">
        <v>213</v>
      </c>
      <c r="C142" s="9" t="s">
        <v>19</v>
      </c>
      <c r="D142" s="8" t="s">
        <v>216</v>
      </c>
      <c r="E142" s="10" t="s">
        <v>54</v>
      </c>
      <c r="F142" s="11"/>
    </row>
    <row r="143" customFormat="false" ht="15" hidden="false" customHeight="false" outlineLevel="0" collapsed="false">
      <c r="A143" s="12" t="s">
        <v>206</v>
      </c>
      <c r="B143" s="13" t="s">
        <v>217</v>
      </c>
      <c r="C143" s="13" t="s">
        <v>10</v>
      </c>
      <c r="D143" s="12" t="s">
        <v>218</v>
      </c>
      <c r="E143" s="14" t="s">
        <v>45</v>
      </c>
      <c r="F143" s="15"/>
    </row>
    <row r="144" customFormat="false" ht="15" hidden="false" customHeight="false" outlineLevel="0" collapsed="false">
      <c r="A144" s="8" t="s">
        <v>206</v>
      </c>
      <c r="B144" s="9" t="s">
        <v>217</v>
      </c>
      <c r="C144" s="9" t="s">
        <v>13</v>
      </c>
      <c r="D144" s="8" t="s">
        <v>219</v>
      </c>
      <c r="E144" s="10" t="s">
        <v>54</v>
      </c>
      <c r="F144" s="11"/>
    </row>
    <row r="145" customFormat="false" ht="15" hidden="false" customHeight="false" outlineLevel="0" collapsed="false">
      <c r="A145" s="12" t="s">
        <v>206</v>
      </c>
      <c r="B145" s="13" t="s">
        <v>217</v>
      </c>
      <c r="C145" s="13" t="s">
        <v>17</v>
      </c>
      <c r="D145" s="12" t="s">
        <v>220</v>
      </c>
      <c r="E145" s="14" t="s">
        <v>210</v>
      </c>
      <c r="F145" s="15"/>
    </row>
    <row r="146" customFormat="false" ht="15" hidden="false" customHeight="false" outlineLevel="0" collapsed="false">
      <c r="A146" s="12" t="s">
        <v>206</v>
      </c>
      <c r="B146" s="13" t="s">
        <v>221</v>
      </c>
      <c r="C146" s="13" t="s">
        <v>10</v>
      </c>
      <c r="D146" s="12" t="s">
        <v>10</v>
      </c>
      <c r="E146" s="14" t="s">
        <v>45</v>
      </c>
      <c r="F146" s="15"/>
    </row>
    <row r="147" customFormat="false" ht="15" hidden="false" customHeight="false" outlineLevel="0" collapsed="false">
      <c r="A147" s="8" t="s">
        <v>206</v>
      </c>
      <c r="B147" s="9" t="s">
        <v>221</v>
      </c>
      <c r="C147" s="9" t="s">
        <v>13</v>
      </c>
      <c r="D147" s="8" t="s">
        <v>13</v>
      </c>
      <c r="E147" s="10" t="s">
        <v>54</v>
      </c>
      <c r="F147" s="11"/>
    </row>
  </sheetData>
  <autoFilter ref="A3:F147"/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4" min="3" style="0" width="14"/>
  </cols>
  <sheetData>
    <row r="1" customFormat="false" ht="17.35" hidden="false" customHeight="false" outlineLevel="0" collapsed="false">
      <c r="A1" s="1" t="s">
        <v>222</v>
      </c>
    </row>
    <row r="2" customFormat="false" ht="15" hidden="false" customHeight="false" outlineLevel="0" collapsed="false">
      <c r="A2" s="16" t="s">
        <v>223</v>
      </c>
    </row>
    <row r="3" customFormat="false" ht="30" hidden="false" customHeight="true" outlineLevel="0" collapsed="false">
      <c r="A3" s="3" t="s">
        <v>6</v>
      </c>
      <c r="B3" s="3" t="s">
        <v>224</v>
      </c>
      <c r="C3" s="3" t="s">
        <v>225</v>
      </c>
      <c r="D3" s="3" t="s">
        <v>226</v>
      </c>
    </row>
    <row r="4" customFormat="false" ht="15" hidden="false" customHeight="false" outlineLevel="0" collapsed="false">
      <c r="A4" s="17" t="s">
        <v>12</v>
      </c>
      <c r="B4" s="18" t="n">
        <f aca="false">COUNTIF(Netlist!$E$4:$E$147,A4)</f>
        <v>24</v>
      </c>
      <c r="C4" s="19" t="str">
        <f aca="false">IF(A4="NC","—",IF(B4&gt;=2,"OK","SINGLE PIN"))</f>
        <v>OK</v>
      </c>
      <c r="D4" s="20" t="s">
        <v>227</v>
      </c>
    </row>
    <row r="5" customFormat="false" ht="15" hidden="false" customHeight="false" outlineLevel="0" collapsed="false">
      <c r="A5" s="17" t="s">
        <v>66</v>
      </c>
      <c r="B5" s="18" t="n">
        <f aca="false">COUNTIF(Netlist!$E$4:$E$147,A5)</f>
        <v>3</v>
      </c>
      <c r="C5" s="19" t="str">
        <f aca="false">IF(A5="NC","—",IF(B5&gt;=2,"OK","SINGLE PIN"))</f>
        <v>OK</v>
      </c>
      <c r="D5" s="20" t="s">
        <v>227</v>
      </c>
    </row>
    <row r="6" customFormat="false" ht="15" hidden="false" customHeight="false" outlineLevel="0" collapsed="false">
      <c r="A6" s="17" t="s">
        <v>54</v>
      </c>
      <c r="B6" s="18" t="n">
        <f aca="false">COUNTIF(Netlist!$E$4:$E$147,A6)</f>
        <v>34</v>
      </c>
      <c r="C6" s="19" t="str">
        <f aca="false">IF(A6="NC","—",IF(B6&gt;=2,"OK","SINGLE PIN"))</f>
        <v>OK</v>
      </c>
      <c r="D6" s="20" t="s">
        <v>228</v>
      </c>
    </row>
    <row r="7" customFormat="false" ht="15" hidden="false" customHeight="false" outlineLevel="0" collapsed="false">
      <c r="A7" s="17" t="s">
        <v>45</v>
      </c>
      <c r="B7" s="18" t="n">
        <f aca="false">COUNTIF(Netlist!$E$4:$E$147,A7)</f>
        <v>3</v>
      </c>
      <c r="C7" s="19" t="str">
        <f aca="false">IF(A7="NC","—",IF(B7&gt;=2,"OK","SINGLE PIN"))</f>
        <v>OK</v>
      </c>
      <c r="D7" s="20" t="s">
        <v>229</v>
      </c>
    </row>
    <row r="8" customFormat="false" ht="15" hidden="false" customHeight="false" outlineLevel="0" collapsed="false">
      <c r="A8" s="17" t="s">
        <v>171</v>
      </c>
      <c r="B8" s="18" t="n">
        <f aca="false">COUNTIF(Netlist!$E$4:$E$147,A8)</f>
        <v>2</v>
      </c>
      <c r="C8" s="19" t="str">
        <f aca="false">IF(A8="NC","—",IF(B8&gt;=2,"OK","SINGLE PIN"))</f>
        <v>OK</v>
      </c>
      <c r="D8" s="20" t="s">
        <v>229</v>
      </c>
    </row>
    <row r="9" customFormat="false" ht="15" hidden="false" customHeight="false" outlineLevel="0" collapsed="false">
      <c r="A9" s="17" t="s">
        <v>164</v>
      </c>
      <c r="B9" s="18" t="n">
        <f aca="false">COUNTIF(Netlist!$E$4:$E$147,A9)</f>
        <v>2</v>
      </c>
      <c r="C9" s="19" t="str">
        <f aca="false">IF(A9="NC","—",IF(B9&gt;=2,"OK","SINGLE PIN"))</f>
        <v>OK</v>
      </c>
      <c r="D9" s="20" t="s">
        <v>229</v>
      </c>
    </row>
    <row r="10" customFormat="false" ht="15" hidden="false" customHeight="false" outlineLevel="0" collapsed="false">
      <c r="A10" s="17" t="s">
        <v>29</v>
      </c>
      <c r="B10" s="18" t="n">
        <f aca="false">COUNTIF(Netlist!$E$4:$E$147,A10)</f>
        <v>2</v>
      </c>
      <c r="C10" s="19" t="str">
        <f aca="false">IF(A10="NC","—",IF(B10&gt;=2,"OK","SINGLE PIN"))</f>
        <v>OK</v>
      </c>
      <c r="D10" s="20" t="s">
        <v>229</v>
      </c>
    </row>
    <row r="11" customFormat="false" ht="15" hidden="false" customHeight="false" outlineLevel="0" collapsed="false">
      <c r="A11" s="17" t="s">
        <v>25</v>
      </c>
      <c r="B11" s="18" t="n">
        <f aca="false">COUNTIF(Netlist!$E$4:$E$147,A11)</f>
        <v>2</v>
      </c>
      <c r="C11" s="19" t="str">
        <f aca="false">IF(A11="NC","—",IF(B11&gt;=2,"OK","SINGLE PIN"))</f>
        <v>OK</v>
      </c>
      <c r="D11" s="20" t="s">
        <v>229</v>
      </c>
    </row>
    <row r="12" customFormat="false" ht="15" hidden="false" customHeight="false" outlineLevel="0" collapsed="false">
      <c r="A12" s="17" t="s">
        <v>91</v>
      </c>
      <c r="B12" s="18" t="n">
        <f aca="false">COUNTIF(Netlist!$E$4:$E$147,A12)</f>
        <v>2</v>
      </c>
      <c r="C12" s="19" t="str">
        <f aca="false">IF(A12="NC","—",IF(B12&gt;=2,"OK","SINGLE PIN"))</f>
        <v>OK</v>
      </c>
      <c r="D12" s="20" t="s">
        <v>229</v>
      </c>
    </row>
    <row r="13" customFormat="false" ht="15" hidden="false" customHeight="false" outlineLevel="0" collapsed="false">
      <c r="A13" s="17" t="s">
        <v>87</v>
      </c>
      <c r="B13" s="18" t="n">
        <f aca="false">COUNTIF(Netlist!$E$4:$E$147,A13)</f>
        <v>2</v>
      </c>
      <c r="C13" s="19" t="str">
        <f aca="false">IF(A13="NC","—",IF(B13&gt;=2,"OK","SINGLE PIN"))</f>
        <v>OK</v>
      </c>
      <c r="D13" s="20" t="s">
        <v>229</v>
      </c>
    </row>
    <row r="14" customFormat="false" ht="15" hidden="false" customHeight="false" outlineLevel="0" collapsed="false">
      <c r="A14" s="17" t="s">
        <v>210</v>
      </c>
      <c r="B14" s="18" t="n">
        <f aca="false">COUNTIF(Netlist!$E$4:$E$147,A14)</f>
        <v>3</v>
      </c>
      <c r="C14" s="19" t="str">
        <f aca="false">IF(A14="NC","—",IF(B14&gt;=2,"OK","SINGLE PIN"))</f>
        <v>OK</v>
      </c>
      <c r="D14" s="20" t="s">
        <v>229</v>
      </c>
    </row>
    <row r="15" customFormat="false" ht="15" hidden="false" customHeight="false" outlineLevel="0" collapsed="false">
      <c r="A15" s="17" t="s">
        <v>129</v>
      </c>
      <c r="B15" s="18" t="n">
        <f aca="false">COUNTIF(Netlist!$E$4:$E$147,A15)</f>
        <v>2</v>
      </c>
      <c r="C15" s="19" t="str">
        <f aca="false">IF(A15="NC","—",IF(B15&gt;=2,"OK","SINGLE PIN"))</f>
        <v>OK</v>
      </c>
      <c r="D15" s="20" t="s">
        <v>229</v>
      </c>
    </row>
    <row r="16" customFormat="false" ht="15" hidden="false" customHeight="false" outlineLevel="0" collapsed="false">
      <c r="A16" s="17" t="s">
        <v>199</v>
      </c>
      <c r="B16" s="18" t="n">
        <f aca="false">COUNTIF(Netlist!$E$4:$E$147,A16)</f>
        <v>2</v>
      </c>
      <c r="C16" s="19" t="str">
        <f aca="false">IF(A16="NC","—",IF(B16&gt;=2,"OK","SINGLE PIN"))</f>
        <v>OK</v>
      </c>
      <c r="D16" s="20" t="s">
        <v>229</v>
      </c>
    </row>
    <row r="17" customFormat="false" ht="15" hidden="false" customHeight="false" outlineLevel="0" collapsed="false">
      <c r="A17" s="17" t="s">
        <v>201</v>
      </c>
      <c r="B17" s="18" t="n">
        <f aca="false">COUNTIF(Netlist!$E$4:$E$147,A17)</f>
        <v>2</v>
      </c>
      <c r="C17" s="19" t="str">
        <f aca="false">IF(A17="NC","—",IF(B17&gt;=2,"OK","SINGLE PIN"))</f>
        <v>OK</v>
      </c>
      <c r="D17" s="20" t="s">
        <v>229</v>
      </c>
    </row>
    <row r="18" customFormat="false" ht="15" hidden="false" customHeight="false" outlineLevel="0" collapsed="false">
      <c r="A18" s="17" t="s">
        <v>203</v>
      </c>
      <c r="B18" s="18" t="n">
        <f aca="false">COUNTIF(Netlist!$E$4:$E$147,A18)</f>
        <v>2</v>
      </c>
      <c r="C18" s="19" t="str">
        <f aca="false">IF(A18="NC","—",IF(B18&gt;=2,"OK","SINGLE PIN"))</f>
        <v>OK</v>
      </c>
      <c r="D18" s="20" t="s">
        <v>229</v>
      </c>
    </row>
    <row r="19" customFormat="false" ht="15" hidden="false" customHeight="false" outlineLevel="0" collapsed="false">
      <c r="A19" s="17" t="s">
        <v>150</v>
      </c>
      <c r="B19" s="18" t="n">
        <f aca="false">COUNTIF(Netlist!$E$4:$E$147,A19)</f>
        <v>2</v>
      </c>
      <c r="C19" s="19" t="str">
        <f aca="false">IF(A19="NC","—",IF(B19&gt;=2,"OK","SINGLE PIN"))</f>
        <v>OK</v>
      </c>
      <c r="D19" s="20" t="s">
        <v>229</v>
      </c>
    </row>
    <row r="20" customFormat="false" ht="15" hidden="false" customHeight="false" outlineLevel="0" collapsed="false">
      <c r="A20" s="17" t="s">
        <v>95</v>
      </c>
      <c r="B20" s="18" t="n">
        <f aca="false">COUNTIF(Netlist!$E$4:$E$147,A20)</f>
        <v>2</v>
      </c>
      <c r="C20" s="19" t="str">
        <f aca="false">IF(A20="NC","—",IF(B20&gt;=2,"OK","SINGLE PIN"))</f>
        <v>OK</v>
      </c>
      <c r="D20" s="20" t="s">
        <v>229</v>
      </c>
    </row>
    <row r="21" customFormat="false" ht="15" hidden="false" customHeight="false" outlineLevel="0" collapsed="false">
      <c r="A21" s="17" t="s">
        <v>32</v>
      </c>
      <c r="B21" s="18" t="n">
        <f aca="false">COUNTIF(Netlist!$E$4:$E$147,A21)</f>
        <v>2</v>
      </c>
      <c r="C21" s="19" t="str">
        <f aca="false">IF(A21="NC","—",IF(B21&gt;=2,"OK","SINGLE PIN"))</f>
        <v>OK</v>
      </c>
      <c r="D21" s="20" t="s">
        <v>229</v>
      </c>
    </row>
    <row r="22" customFormat="false" ht="15" hidden="false" customHeight="false" outlineLevel="0" collapsed="false">
      <c r="A22" s="17" t="s">
        <v>38</v>
      </c>
      <c r="B22" s="18" t="n">
        <f aca="false">COUNTIF(Netlist!$E$4:$E$147,A22)</f>
        <v>2</v>
      </c>
      <c r="C22" s="19" t="str">
        <f aca="false">IF(A22="NC","—",IF(B22&gt;=2,"OK","SINGLE PIN"))</f>
        <v>OK</v>
      </c>
      <c r="D22" s="20" t="s">
        <v>229</v>
      </c>
    </row>
    <row r="23" customFormat="false" ht="15" hidden="false" customHeight="false" outlineLevel="0" collapsed="false">
      <c r="A23" s="17" t="s">
        <v>109</v>
      </c>
      <c r="B23" s="18" t="n">
        <f aca="false">COUNTIF(Netlist!$E$4:$E$147,A23)</f>
        <v>3</v>
      </c>
      <c r="C23" s="19" t="str">
        <f aca="false">IF(A23="NC","—",IF(B23&gt;=2,"OK","SINGLE PIN"))</f>
        <v>OK</v>
      </c>
      <c r="D23" s="20" t="s">
        <v>229</v>
      </c>
    </row>
    <row r="24" customFormat="false" ht="15" hidden="false" customHeight="false" outlineLevel="0" collapsed="false">
      <c r="A24" s="17" t="s">
        <v>84</v>
      </c>
      <c r="B24" s="18" t="n">
        <f aca="false">COUNTIF(Netlist!$E$4:$E$147,A24)</f>
        <v>2</v>
      </c>
      <c r="C24" s="19" t="str">
        <f aca="false">IF(A24="NC","—",IF(B24&gt;=2,"OK","SINGLE PIN"))</f>
        <v>OK</v>
      </c>
      <c r="D24" s="20" t="s">
        <v>229</v>
      </c>
    </row>
    <row r="25" customFormat="false" ht="15" hidden="false" customHeight="false" outlineLevel="0" collapsed="false">
      <c r="A25" s="17" t="s">
        <v>21</v>
      </c>
      <c r="B25" s="18" t="n">
        <f aca="false">COUNTIF(Netlist!$E$4:$E$147,A25)</f>
        <v>2</v>
      </c>
      <c r="C25" s="19" t="str">
        <f aca="false">IF(A25="NC","—",IF(B25&gt;=2,"OK","SINGLE PIN"))</f>
        <v>OK</v>
      </c>
      <c r="D25" s="20" t="s">
        <v>229</v>
      </c>
    </row>
    <row r="26" customFormat="false" ht="15" hidden="false" customHeight="false" outlineLevel="0" collapsed="false">
      <c r="A26" s="17" t="s">
        <v>103</v>
      </c>
      <c r="B26" s="18" t="n">
        <f aca="false">COUNTIF(Netlist!$E$4:$E$147,A26)</f>
        <v>4</v>
      </c>
      <c r="C26" s="19" t="str">
        <f aca="false">IF(A26="NC","—",IF(B26&gt;=2,"OK","SINGLE PIN"))</f>
        <v>OK</v>
      </c>
      <c r="D26" s="20" t="s">
        <v>229</v>
      </c>
    </row>
    <row r="27" customFormat="false" ht="15" hidden="false" customHeight="false" outlineLevel="0" collapsed="false">
      <c r="A27" s="17" t="s">
        <v>120</v>
      </c>
      <c r="B27" s="18" t="n">
        <f aca="false">COUNTIF(Netlist!$E$4:$E$147,A27)</f>
        <v>5</v>
      </c>
      <c r="C27" s="19" t="str">
        <f aca="false">IF(A27="NC","—",IF(B27&gt;=2,"OK","SINGLE PIN"))</f>
        <v>OK</v>
      </c>
      <c r="D27" s="20" t="s">
        <v>229</v>
      </c>
    </row>
    <row r="28" customFormat="false" ht="15" hidden="false" customHeight="false" outlineLevel="0" collapsed="false">
      <c r="A28" s="17" t="s">
        <v>99</v>
      </c>
      <c r="B28" s="18" t="n">
        <f aca="false">COUNTIF(Netlist!$E$4:$E$147,A28)</f>
        <v>4</v>
      </c>
      <c r="C28" s="19" t="str">
        <f aca="false">IF(A28="NC","—",IF(B28&gt;=2,"OK","SINGLE PIN"))</f>
        <v>OK</v>
      </c>
      <c r="D28" s="20" t="s">
        <v>229</v>
      </c>
    </row>
    <row r="29" customFormat="false" ht="15" hidden="false" customHeight="false" outlineLevel="0" collapsed="false">
      <c r="A29" s="17" t="s">
        <v>41</v>
      </c>
      <c r="B29" s="18" t="n">
        <f aca="false">COUNTIF(Netlist!$E$4:$E$147,A29)</f>
        <v>2</v>
      </c>
      <c r="C29" s="19" t="str">
        <f aca="false">IF(A29="NC","—",IF(B29&gt;=2,"OK","SINGLE PIN"))</f>
        <v>OK</v>
      </c>
      <c r="D29" s="20" t="s">
        <v>229</v>
      </c>
    </row>
    <row r="30" customFormat="false" ht="15" hidden="false" customHeight="false" outlineLevel="0" collapsed="false">
      <c r="A30" s="17" t="s">
        <v>15</v>
      </c>
      <c r="B30" s="18" t="n">
        <f aca="false">COUNTIF(Netlist!$E$4:$E$147,A30)</f>
        <v>27</v>
      </c>
      <c r="C30" s="19" t="str">
        <f aca="false">IF(A30="NC","—",IF(B30&gt;=2,"OK","SINGLE PIN"))</f>
        <v>—</v>
      </c>
      <c r="D30" s="20" t="s">
        <v>230</v>
      </c>
    </row>
    <row r="32" customFormat="false" ht="15" hidden="false" customHeight="false" outlineLevel="0" collapsed="false">
      <c r="A32" s="21" t="s">
        <v>231</v>
      </c>
      <c r="B32" s="21" t="n">
        <f aca="false">COUNTIF(C4:C30,"SINGLE PIN")</f>
        <v>0</v>
      </c>
    </row>
    <row r="33" customFormat="false" ht="15" hidden="false" customHeight="false" outlineLevel="0" collapsed="false">
      <c r="A33" s="21" t="s">
        <v>232</v>
      </c>
      <c r="B33" s="21" t="n">
        <f aca="false">COUNTA(Netlist!E4:E147)</f>
        <v>144</v>
      </c>
    </row>
  </sheetData>
  <conditionalFormatting sqref="C4:C30">
    <cfRule type="cellIs" priority="2" operator="equal" aboveAverage="0" equalAverage="0" bottom="0" percent="0" rank="0" text="" dxfId="5">
      <formula>"SINGLE PIN"</formula>
    </cfRule>
    <cfRule type="cellIs" priority="3" operator="equal" aboveAverage="0" equalAverage="0" bottom="0" percent="0" rank="0" text="" dxfId="6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58"/>
  </cols>
  <sheetData>
    <row r="1" customFormat="false" ht="17.35" hidden="false" customHeight="false" outlineLevel="0" collapsed="false">
      <c r="A1" s="1" t="s">
        <v>233</v>
      </c>
    </row>
    <row r="2" customFormat="false" ht="15" hidden="false" customHeight="false" outlineLevel="0" collapsed="false">
      <c r="A2" s="16" t="s">
        <v>234</v>
      </c>
    </row>
    <row r="3" customFormat="false" ht="30" hidden="false" customHeight="true" outlineLevel="0" collapsed="false">
      <c r="A3" s="3" t="s">
        <v>235</v>
      </c>
      <c r="B3" s="3" t="s">
        <v>236</v>
      </c>
      <c r="C3" s="3" t="s">
        <v>6</v>
      </c>
      <c r="D3" s="3" t="s">
        <v>237</v>
      </c>
      <c r="E3" s="3" t="s">
        <v>7</v>
      </c>
    </row>
    <row r="4" customFormat="false" ht="15" hidden="false" customHeight="false" outlineLevel="0" collapsed="false">
      <c r="A4" s="22" t="n">
        <v>0</v>
      </c>
      <c r="B4" s="23" t="s">
        <v>238</v>
      </c>
      <c r="C4" s="23" t="s">
        <v>15</v>
      </c>
      <c r="D4" s="23" t="s">
        <v>239</v>
      </c>
      <c r="E4" s="23" t="s">
        <v>81</v>
      </c>
    </row>
    <row r="5" customFormat="false" ht="15" hidden="false" customHeight="false" outlineLevel="0" collapsed="false">
      <c r="A5" s="22" t="n">
        <v>1</v>
      </c>
      <c r="B5" s="23" t="s">
        <v>240</v>
      </c>
      <c r="C5" s="23" t="s">
        <v>15</v>
      </c>
      <c r="D5" s="23" t="s">
        <v>239</v>
      </c>
      <c r="E5" s="23" t="s">
        <v>113</v>
      </c>
    </row>
    <row r="6" customFormat="false" ht="15" hidden="false" customHeight="false" outlineLevel="0" collapsed="false">
      <c r="A6" s="22" t="n">
        <v>2</v>
      </c>
      <c r="B6" s="23" t="s">
        <v>241</v>
      </c>
      <c r="C6" s="23" t="s">
        <v>15</v>
      </c>
      <c r="D6" s="23" t="s">
        <v>239</v>
      </c>
      <c r="E6" s="23" t="s">
        <v>78</v>
      </c>
    </row>
    <row r="7" customFormat="false" ht="15" hidden="false" customHeight="false" outlineLevel="0" collapsed="false">
      <c r="A7" s="22" t="n">
        <v>3</v>
      </c>
      <c r="B7" s="23" t="s">
        <v>242</v>
      </c>
      <c r="C7" s="23" t="s">
        <v>15</v>
      </c>
      <c r="D7" s="23" t="s">
        <v>239</v>
      </c>
      <c r="E7" s="23" t="s">
        <v>113</v>
      </c>
    </row>
    <row r="8" customFormat="false" ht="15" hidden="false" customHeight="false" outlineLevel="0" collapsed="false">
      <c r="A8" s="24" t="n">
        <v>4</v>
      </c>
      <c r="B8" s="25" t="s">
        <v>243</v>
      </c>
      <c r="C8" s="26" t="s">
        <v>84</v>
      </c>
      <c r="D8" s="25" t="s">
        <v>244</v>
      </c>
      <c r="E8" s="25"/>
    </row>
    <row r="9" customFormat="false" ht="15" hidden="false" customHeight="false" outlineLevel="0" collapsed="false">
      <c r="A9" s="24" t="n">
        <v>5</v>
      </c>
      <c r="B9" s="25" t="s">
        <v>245</v>
      </c>
      <c r="C9" s="26" t="s">
        <v>95</v>
      </c>
      <c r="D9" s="25" t="s">
        <v>244</v>
      </c>
      <c r="E9" s="25" t="s">
        <v>96</v>
      </c>
    </row>
    <row r="10" customFormat="false" ht="15" hidden="false" customHeight="false" outlineLevel="0" collapsed="false">
      <c r="A10" s="22" t="n">
        <v>6</v>
      </c>
      <c r="B10" s="23" t="s">
        <v>246</v>
      </c>
      <c r="C10" s="23" t="s">
        <v>15</v>
      </c>
      <c r="D10" s="23" t="s">
        <v>239</v>
      </c>
      <c r="E10" s="23" t="s">
        <v>59</v>
      </c>
    </row>
    <row r="11" customFormat="false" ht="15" hidden="false" customHeight="false" outlineLevel="0" collapsed="false">
      <c r="A11" s="22" t="n">
        <v>7</v>
      </c>
      <c r="B11" s="23" t="s">
        <v>247</v>
      </c>
      <c r="C11" s="23" t="s">
        <v>15</v>
      </c>
      <c r="D11" s="23" t="s">
        <v>239</v>
      </c>
      <c r="E11" s="23" t="s">
        <v>59</v>
      </c>
    </row>
    <row r="12" customFormat="false" ht="15" hidden="false" customHeight="false" outlineLevel="0" collapsed="false">
      <c r="A12" s="22" t="n">
        <v>8</v>
      </c>
      <c r="B12" s="23" t="s">
        <v>248</v>
      </c>
      <c r="C12" s="23" t="s">
        <v>15</v>
      </c>
      <c r="D12" s="23" t="s">
        <v>239</v>
      </c>
      <c r="E12" s="23" t="s">
        <v>59</v>
      </c>
    </row>
    <row r="13" customFormat="false" ht="15" hidden="false" customHeight="false" outlineLevel="0" collapsed="false">
      <c r="A13" s="22" t="n">
        <v>9</v>
      </c>
      <c r="B13" s="23" t="s">
        <v>249</v>
      </c>
      <c r="C13" s="23" t="s">
        <v>15</v>
      </c>
      <c r="D13" s="23" t="s">
        <v>239</v>
      </c>
      <c r="E13" s="23" t="s">
        <v>59</v>
      </c>
    </row>
    <row r="14" customFormat="false" ht="15" hidden="false" customHeight="false" outlineLevel="0" collapsed="false">
      <c r="A14" s="22" t="n">
        <v>10</v>
      </c>
      <c r="B14" s="23" t="s">
        <v>250</v>
      </c>
      <c r="C14" s="23" t="s">
        <v>15</v>
      </c>
      <c r="D14" s="23" t="s">
        <v>239</v>
      </c>
      <c r="E14" s="23" t="s">
        <v>59</v>
      </c>
    </row>
    <row r="15" customFormat="false" ht="15" hidden="false" customHeight="false" outlineLevel="0" collapsed="false">
      <c r="A15" s="22" t="n">
        <v>11</v>
      </c>
      <c r="B15" s="23" t="s">
        <v>251</v>
      </c>
      <c r="C15" s="23" t="s">
        <v>15</v>
      </c>
      <c r="D15" s="23" t="s">
        <v>239</v>
      </c>
      <c r="E15" s="23" t="s">
        <v>59</v>
      </c>
    </row>
    <row r="16" customFormat="false" ht="15" hidden="false" customHeight="false" outlineLevel="0" collapsed="false">
      <c r="A16" s="22" t="n">
        <v>12</v>
      </c>
      <c r="B16" s="23" t="s">
        <v>252</v>
      </c>
      <c r="C16" s="23" t="s">
        <v>15</v>
      </c>
      <c r="D16" s="23" t="s">
        <v>239</v>
      </c>
      <c r="E16" s="23" t="s">
        <v>51</v>
      </c>
    </row>
    <row r="17" customFormat="false" ht="15" hidden="false" customHeight="false" outlineLevel="0" collapsed="false">
      <c r="A17" s="13" t="n">
        <v>13</v>
      </c>
      <c r="B17" s="12" t="s">
        <v>253</v>
      </c>
      <c r="C17" s="12" t="s">
        <v>15</v>
      </c>
      <c r="D17" s="12" t="s">
        <v>16</v>
      </c>
      <c r="E17" s="12" t="s">
        <v>16</v>
      </c>
    </row>
    <row r="18" customFormat="false" ht="15" hidden="false" customHeight="false" outlineLevel="0" collapsed="false">
      <c r="A18" s="13" t="n">
        <v>14</v>
      </c>
      <c r="B18" s="12" t="s">
        <v>254</v>
      </c>
      <c r="C18" s="12" t="s">
        <v>15</v>
      </c>
      <c r="D18" s="12" t="s">
        <v>16</v>
      </c>
      <c r="E18" s="12" t="s">
        <v>16</v>
      </c>
    </row>
    <row r="19" customFormat="false" ht="15" hidden="false" customHeight="false" outlineLevel="0" collapsed="false">
      <c r="A19" s="22" t="n">
        <v>15</v>
      </c>
      <c r="B19" s="23" t="s">
        <v>255</v>
      </c>
      <c r="C19" s="23" t="s">
        <v>15</v>
      </c>
      <c r="D19" s="23" t="s">
        <v>239</v>
      </c>
      <c r="E19" s="23" t="s">
        <v>75</v>
      </c>
    </row>
    <row r="20" customFormat="false" ht="15" hidden="false" customHeight="false" outlineLevel="0" collapsed="false">
      <c r="A20" s="24" t="n">
        <v>16</v>
      </c>
      <c r="B20" s="25" t="s">
        <v>256</v>
      </c>
      <c r="C20" s="26" t="s">
        <v>87</v>
      </c>
      <c r="D20" s="25" t="s">
        <v>244</v>
      </c>
      <c r="E20" s="25" t="s">
        <v>88</v>
      </c>
    </row>
    <row r="21" customFormat="false" ht="15" hidden="false" customHeight="false" outlineLevel="0" collapsed="false">
      <c r="A21" s="24" t="n">
        <v>17</v>
      </c>
      <c r="B21" s="25" t="s">
        <v>257</v>
      </c>
      <c r="C21" s="26" t="s">
        <v>91</v>
      </c>
      <c r="D21" s="25" t="s">
        <v>244</v>
      </c>
      <c r="E21" s="25" t="s">
        <v>92</v>
      </c>
    </row>
    <row r="22" customFormat="false" ht="15" hidden="false" customHeight="false" outlineLevel="0" collapsed="false">
      <c r="A22" s="24" t="n">
        <v>18</v>
      </c>
      <c r="B22" s="25" t="s">
        <v>258</v>
      </c>
      <c r="C22" s="26" t="s">
        <v>99</v>
      </c>
      <c r="D22" s="25" t="s">
        <v>244</v>
      </c>
      <c r="E22" s="25" t="s">
        <v>100</v>
      </c>
    </row>
    <row r="23" customFormat="false" ht="15" hidden="false" customHeight="false" outlineLevel="0" collapsed="false">
      <c r="A23" s="24" t="n">
        <v>19</v>
      </c>
      <c r="B23" s="25" t="s">
        <v>259</v>
      </c>
      <c r="C23" s="26" t="s">
        <v>103</v>
      </c>
      <c r="D23" s="25" t="s">
        <v>244</v>
      </c>
      <c r="E23" s="25" t="s">
        <v>104</v>
      </c>
    </row>
    <row r="24" customFormat="false" ht="15" hidden="false" customHeight="false" outlineLevel="0" collapsed="false">
      <c r="A24" s="24" t="n">
        <v>21</v>
      </c>
      <c r="B24" s="25" t="s">
        <v>260</v>
      </c>
      <c r="C24" s="26" t="s">
        <v>109</v>
      </c>
      <c r="D24" s="25" t="s">
        <v>244</v>
      </c>
      <c r="E24" s="25" t="s">
        <v>110</v>
      </c>
    </row>
    <row r="25" customFormat="false" ht="15" hidden="false" customHeight="false" outlineLevel="0" collapsed="false">
      <c r="A25" s="13" t="n">
        <v>22</v>
      </c>
      <c r="B25" s="12" t="s">
        <v>261</v>
      </c>
      <c r="C25" s="12" t="s">
        <v>15</v>
      </c>
      <c r="D25" s="12" t="s">
        <v>16</v>
      </c>
      <c r="E25" s="12" t="s">
        <v>16</v>
      </c>
    </row>
    <row r="26" customFormat="false" ht="15" hidden="false" customHeight="false" outlineLevel="0" collapsed="false">
      <c r="A26" s="24" t="n">
        <v>23</v>
      </c>
      <c r="B26" s="25" t="s">
        <v>262</v>
      </c>
      <c r="C26" s="26" t="s">
        <v>120</v>
      </c>
      <c r="D26" s="25" t="s">
        <v>244</v>
      </c>
      <c r="E26" s="25" t="s">
        <v>121</v>
      </c>
    </row>
    <row r="27" customFormat="false" ht="15" hidden="false" customHeight="false" outlineLevel="0" collapsed="false">
      <c r="A27" s="24" t="n">
        <v>25</v>
      </c>
      <c r="B27" s="25" t="s">
        <v>263</v>
      </c>
      <c r="C27" s="26" t="s">
        <v>38</v>
      </c>
      <c r="D27" s="25" t="s">
        <v>244</v>
      </c>
      <c r="E27" s="25"/>
    </row>
    <row r="28" customFormat="false" ht="15" hidden="false" customHeight="false" outlineLevel="0" collapsed="false">
      <c r="A28" s="24" t="n">
        <v>26</v>
      </c>
      <c r="B28" s="25" t="s">
        <v>264</v>
      </c>
      <c r="C28" s="26" t="s">
        <v>41</v>
      </c>
      <c r="D28" s="25" t="s">
        <v>244</v>
      </c>
      <c r="E28" s="25" t="s">
        <v>42</v>
      </c>
    </row>
    <row r="29" customFormat="false" ht="15" hidden="false" customHeight="false" outlineLevel="0" collapsed="false">
      <c r="A29" s="24" t="n">
        <v>27</v>
      </c>
      <c r="B29" s="25" t="s">
        <v>265</v>
      </c>
      <c r="C29" s="26" t="s">
        <v>45</v>
      </c>
      <c r="D29" s="25" t="s">
        <v>244</v>
      </c>
      <c r="E29" s="25" t="s">
        <v>46</v>
      </c>
    </row>
    <row r="30" customFormat="false" ht="15" hidden="false" customHeight="false" outlineLevel="0" collapsed="false">
      <c r="A30" s="24" t="n">
        <v>32</v>
      </c>
      <c r="B30" s="25" t="s">
        <v>266</v>
      </c>
      <c r="C30" s="26" t="s">
        <v>32</v>
      </c>
      <c r="D30" s="25" t="s">
        <v>244</v>
      </c>
      <c r="E30" s="25" t="s">
        <v>33</v>
      </c>
    </row>
    <row r="31" customFormat="false" ht="15" hidden="false" customHeight="false" outlineLevel="0" collapsed="false">
      <c r="A31" s="13" t="n">
        <v>33</v>
      </c>
      <c r="B31" s="12" t="s">
        <v>267</v>
      </c>
      <c r="C31" s="12" t="s">
        <v>15</v>
      </c>
      <c r="D31" s="12" t="s">
        <v>16</v>
      </c>
      <c r="E31" s="12" t="s">
        <v>16</v>
      </c>
    </row>
    <row r="32" customFormat="false" ht="15" hidden="false" customHeight="false" outlineLevel="0" collapsed="false">
      <c r="A32" s="24" t="n">
        <v>34</v>
      </c>
      <c r="B32" s="25" t="s">
        <v>268</v>
      </c>
      <c r="C32" s="26" t="s">
        <v>25</v>
      </c>
      <c r="D32" s="25" t="s">
        <v>244</v>
      </c>
      <c r="E32" s="25" t="s">
        <v>26</v>
      </c>
    </row>
    <row r="33" customFormat="false" ht="15" hidden="false" customHeight="false" outlineLevel="0" collapsed="false">
      <c r="A33" s="24" t="n">
        <v>35</v>
      </c>
      <c r="B33" s="25" t="s">
        <v>269</v>
      </c>
      <c r="C33" s="26" t="s">
        <v>29</v>
      </c>
      <c r="D33" s="25" t="s">
        <v>244</v>
      </c>
      <c r="E33" s="25" t="s">
        <v>26</v>
      </c>
    </row>
    <row r="34" customFormat="false" ht="15" hidden="false" customHeight="false" outlineLevel="0" collapsed="false">
      <c r="A34" s="13" t="n">
        <v>36</v>
      </c>
      <c r="B34" s="12" t="s">
        <v>270</v>
      </c>
      <c r="C34" s="12" t="s">
        <v>15</v>
      </c>
      <c r="D34" s="12" t="s">
        <v>16</v>
      </c>
      <c r="E34" s="12" t="s">
        <v>16</v>
      </c>
    </row>
    <row r="35" customFormat="false" ht="15" hidden="false" customHeight="false" outlineLevel="0" collapsed="false">
      <c r="A35" s="24" t="n">
        <v>39</v>
      </c>
      <c r="B35" s="25" t="s">
        <v>271</v>
      </c>
      <c r="C35" s="26" t="s">
        <v>21</v>
      </c>
      <c r="D35" s="25" t="s">
        <v>244</v>
      </c>
      <c r="E35" s="2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2026-10-30T00:42:53Z</dcterms:created>
  <dc:creator>openpyxl</dc:creator>
  <dc:description/>
  <dc:language>en-US</dc:language>
  <cp:lastModifiedBy/>
  <dcterms:modified xsi:type="dcterms:W3CDTF">2026-10-30T00:42:54Z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