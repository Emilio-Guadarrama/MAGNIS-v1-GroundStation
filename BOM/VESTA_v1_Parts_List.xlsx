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ESTA v1 parts" sheetId="1" state="visible" r:id="rId3"/>
  </sheets>
  <definedNames>
    <definedName function="false" hidden="false" localSheetId="0" name="_xlnm.Print_Titles" vbProcedure="false">'VESTA v1 parts'!$3:$3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<sst xmlns="http://schemas.openxmlformats.org/spreadsheetml/2006/main" count="216" uniqueCount="132">
  <si>
    <t xml:space="preserve">VESTA v1 ground station component list (schematic VESTA-v1-SCH-01, rev 1.0)</t>
  </si>
  <si>
    <t xml:space="preserve">Boards to build</t>
  </si>
  <si>
    <t xml:space="preserve">← edit: 2 boards for diversity + 1 spare (assumption, change freely)</t>
  </si>
  <si>
    <t xml:space="preserve">Green = approved, at UNIT Electronics · White = reused from V5 (same part and footprint) · Yellow = needs a decision or a special order · Grey = DNP or PCB copper only. Designators and quantities match Sch_VESTA-v1.NET (Oct 29, 2026). UNIT is the primary source (assembly in Mexico); LCSC, Mouser and DigiKey are backups. SnapMagic 'Part page' = dedicated symbol + footprint page; 'Search' = no dedicated page found, reuse the V5 footprint where noted. V5 links checked Sep 24, 2026; new UNIT links found Oct 29, 2026 — stock not re-checked, confirm at checkout.</t>
  </si>
  <si>
    <t xml:space="preserve">Status</t>
  </si>
  <si>
    <t xml:space="preserve">Component name</t>
  </si>
  <si>
    <t xml:space="preserve">ID # (part number)</t>
  </si>
  <si>
    <t xml:space="preserve">Designator on schematic</t>
  </si>
  <si>
    <t xml:space="preserve">Amount</t>
  </si>
  <si>
    <t xml:space="preserve">Total (all boards)</t>
  </si>
  <si>
    <t xml:space="preserve">UNIT Electronics</t>
  </si>
  <si>
    <t xml:space="preserve">LCSC</t>
  </si>
  <si>
    <t xml:space="preserve">Mouser MX</t>
  </si>
  <si>
    <t xml:space="preserve">DigiKey MX</t>
  </si>
  <si>
    <t xml:space="preserve">SnapMagic (symbol + footprint)</t>
  </si>
  <si>
    <t xml:space="preserve">Notes</t>
  </si>
  <si>
    <t xml:space="preserve">MODULES (plug-in, no soldering to the module itself)</t>
  </si>
  <si>
    <t xml:space="preserve">Approved</t>
  </si>
  <si>
    <t xml:space="preserve">Dev board ESP32-DevKitC V4, ESP32-WROOM-32D (4 MB flash, PCB antenna, 2×19 pins, CP2102 micro-USB)</t>
  </si>
  <si>
    <t xml:space="preserve">ESP32-DevKitC-32D</t>
  </si>
  <si>
    <t xml:space="preserve">MCU1</t>
  </si>
  <si>
    <t xml:space="preserve">UNIT</t>
  </si>
  <si>
    <t xml:space="preserve">—</t>
  </si>
  <si>
    <t xml:space="preserve">Mouser</t>
  </si>
  <si>
    <t xml:space="preserve">DigiKey</t>
  </si>
  <si>
    <t xml:space="preserve">Part page (ESP32-DEVKITC)</t>
  </si>
  <si>
    <t xml:space="preserve">UNIT $145 MXN — choose the '32D' option (PCB antenna). Footprint MODULE_ESP32-DEVKITC; plugs into the two 1×19 female sockets below. Keep copper out from under its antenna.</t>
  </si>
  <si>
    <t xml:space="preserve">Request from UNIT</t>
  </si>
  <si>
    <t xml:space="preserve">GPS breakout MTK3339 / PA1616S (66 ch, 10 Hz, patch antenna)</t>
  </si>
  <si>
    <t xml:space="preserve">Adafruit 746</t>
  </si>
  <si>
    <t xml:space="preserve">U1</t>
  </si>
  <si>
    <t xml:space="preserve">Request</t>
  </si>
  <si>
    <t xml:space="preserve">Footprint XCVR_746 (in schematic)</t>
  </si>
  <si>
    <t xml:space="preserve">Not stocked at UNIT: request a special order (allow lead time). Plugs into the 1×9 female socket below. VIN on 3.3 V, VBAT left open (optional CR1220 on the breakout).</t>
  </si>
  <si>
    <t xml:space="preserve">MicroSD SPI module, 6-pin (optional test module for J2)</t>
  </si>
  <si>
    <t xml:space="preserve">Generic micro SD reader</t>
  </si>
  <si>
    <t xml:space="preserve">— (on J2)</t>
  </si>
  <si>
    <t xml:space="preserve">Not needed — plugs into J2</t>
  </si>
  <si>
    <t xml:space="preserve">Only for testing the backup path. Own CS (IO4) and own MISO (IO39). J2 gives 3.3 V only: use a module without onboard LDO, or bypass it.</t>
  </si>
  <si>
    <t xml:space="preserve">SOCKETS FOR THE MODULES (mechanical, no schematic symbol)</t>
  </si>
  <si>
    <t xml:space="preserve">Female header 1×19, 2.54 mm (DevKitC sockets)</t>
  </si>
  <si>
    <t xml:space="preserve">PPTC191LFBN-RC</t>
  </si>
  <si>
    <t xml:space="preserve">— (MCU1)</t>
  </si>
  <si>
    <t xml:space="preserve">Not needed</t>
  </si>
  <si>
    <t xml:space="preserve">Soldered into the MCU1 footprint holes. UNIT sells strips by pin count — cut from a 1×40.</t>
  </si>
  <si>
    <t xml:space="preserve">Female header 1×9, 2.54 mm (GPS breakout socket)</t>
  </si>
  <si>
    <t xml:space="preserve">PPTC091LFBN-RC</t>
  </si>
  <si>
    <t xml:space="preserve">— (U1)</t>
  </si>
  <si>
    <t xml:space="preserve">Soldered into the U1 (XCVR_746) footprint holes.</t>
  </si>
  <si>
    <t xml:space="preserve">RF</t>
  </si>
  <si>
    <t xml:space="preserve">Reuse (V5 part)</t>
  </si>
  <si>
    <t xml:space="preserve">LoRa transceiver 915 MHz (SX1276)</t>
  </si>
  <si>
    <t xml:space="preserve">RFM95W-915S2</t>
  </si>
  <si>
    <t xml:space="preserve">U3</t>
  </si>
  <si>
    <t xml:space="preserve">C6760738</t>
  </si>
  <si>
    <t xml:space="preserve">Part page</t>
  </si>
  <si>
    <t xml:space="preserve">Order the 915 MHz part. Schematic footprint is named XCVR_RFM95W-868S2 — same land pattern.</t>
  </si>
  <si>
    <t xml:space="preserve">SMA edge connector 50 Ω</t>
  </si>
  <si>
    <t xml:space="preserve">BWSMA-KE-Z001</t>
  </si>
  <si>
    <t xml:space="preserve">J1</t>
  </si>
  <si>
    <t xml:space="preserve">C496549</t>
  </si>
  <si>
    <t xml:space="preserve">Search</t>
  </si>
  <si>
    <t xml:space="preserve">Same as V5. Must be edge-launch for a 1.6 mm board — UNIT listing is generic SMA, confirm edge-mount. GND legs = Direct Connect. Short CPWG trace from U3 ANT.</t>
  </si>
  <si>
    <t xml:space="preserve">STORAGE</t>
  </si>
  <si>
    <t xml:space="preserve">MicroSD socket push-push, with card-detect pad</t>
  </si>
  <si>
    <t xml:space="preserve">THD2528-11SD-GF</t>
  </si>
  <si>
    <t xml:space="preserve">CARD1</t>
  </si>
  <si>
    <t xml:space="preserve">C283232</t>
  </si>
  <si>
    <t xml:space="preserve">Same socket as V5. Pin 9 (CD) left open on purpose (its switch closes to the shell = GND). Shell pins 10–13 to GND. Two Ø1.00 mm locating pegs = non-plated holes.</t>
  </si>
  <si>
    <t xml:space="preserve">Pending decision</t>
  </si>
  <si>
    <t xml:space="preserve">Header 1×6, 2.54 mm (external microSD module)</t>
  </si>
  <si>
    <t xml:space="preserve">TSW-106-07-S-S-LL</t>
  </si>
  <si>
    <t xml:space="preserve">J2</t>
  </si>
  <si>
    <t xml:space="preserve">Schematic part is a MALE strip, but the microSD modules also come with male pins. Fit a 1×6 FEMALE socket (PPTC061LFBN-RC, same footprint) — UNIT link is the female strip.</t>
  </si>
  <si>
    <t xml:space="preserve">INDICATORS &amp; AUDIO</t>
  </si>
  <si>
    <t xml:space="preserve">Addressable RGB LED 5050</t>
  </si>
  <si>
    <t xml:space="preserve">WS2812B-B/T</t>
  </si>
  <si>
    <t xml:space="preserve">LED1, LED2, LED3</t>
  </si>
  <si>
    <t xml:space="preserve">C2761795</t>
  </si>
  <si>
    <t xml:space="preserve">VDD on VCC_3V3, data from IO26 through R2. Footprint checked by the designer.</t>
  </si>
  <si>
    <t xml:space="preserve">Magnetic buzzer 2.7 kHz (passive)</t>
  </si>
  <si>
    <t xml:space="preserve">MLT-8530</t>
  </si>
  <si>
    <t xml:space="preserve">LS1</t>
  </si>
  <si>
    <t xml:space="preserve">C94599</t>
  </si>
  <si>
    <t xml:space="preserve">Same part and circuit as the IGNIS FC, validated there on 5 V with PWM. Not at UNIT. Pins 3–4 mechanical (GND).</t>
  </si>
  <si>
    <t xml:space="preserve">N-MOSFET 30 V / 270 mA (SC-70), buzzer driver</t>
  </si>
  <si>
    <t xml:space="preserve">NTS4001NT1G</t>
  </si>
  <si>
    <t xml:space="preserve">Q1</t>
  </si>
  <si>
    <t xml:space="preserve">C116738</t>
  </si>
  <si>
    <t xml:space="preserve">Same as the IGNIS FC buzzer driver. Not at UNIT. Gate from IO27, pull-down R3.</t>
  </si>
  <si>
    <t xml:space="preserve">Switching diode (buzzer flyback)</t>
  </si>
  <si>
    <t xml:space="preserve">1N4148W-7</t>
  </si>
  <si>
    <t xml:space="preserve">D1</t>
  </si>
  <si>
    <t xml:space="preserve">C81598</t>
  </si>
  <si>
    <t xml:space="preserve">Part page (1N4148W-7-F)</t>
  </si>
  <si>
    <t xml:space="preserve">SOD-123 (footprint SOD3715X135N). Across LS1.</t>
  </si>
  <si>
    <t xml:space="preserve">RESISTORS 0603 1 %</t>
  </si>
  <si>
    <t xml:space="preserve">Resistor 4.7 kΩ</t>
  </si>
  <si>
    <t xml:space="preserve">0603WAF4701T5E</t>
  </si>
  <si>
    <t xml:space="preserve">R1</t>
  </si>
  <si>
    <t xml:space="preserve">C23162</t>
  </si>
  <si>
    <t xml:space="preserve">Generic — use your 0603/0805 library</t>
  </si>
  <si>
    <t xml:space="preserve">GPS EN pull-up to 3.3 V.</t>
  </si>
  <si>
    <t xml:space="preserve">Resistor 33 Ω</t>
  </si>
  <si>
    <t xml:space="preserve">0603WAF330JT5E</t>
  </si>
  <si>
    <t xml:space="preserve">R2</t>
  </si>
  <si>
    <t xml:space="preserve">C23140</t>
  </si>
  <si>
    <t xml:space="preserve">WS2812B data series resistor, at LED1.</t>
  </si>
  <si>
    <t xml:space="preserve">Resistor 10 kΩ</t>
  </si>
  <si>
    <t xml:space="preserve">0603WAF1002T5E</t>
  </si>
  <si>
    <t xml:space="preserve">R3, R4, R5, R6, R7, R8</t>
  </si>
  <si>
    <t xml:space="preserve">C25804</t>
  </si>
  <si>
    <t xml:space="preserve">R3 buzzer gate pull-down; pull-ups to 3.3 V: R4 MOSI, R5 SD_CS, R6 MISO, R7 DAT1, R8 DAT2.</t>
  </si>
  <si>
    <t xml:space="preserve">CAPACITORS 0805</t>
  </si>
  <si>
    <t xml:space="preserve">Capacitor 100 nF 50 V X7R</t>
  </si>
  <si>
    <t xml:space="preserve">CC0805KRX7R9BB104</t>
  </si>
  <si>
    <t xml:space="preserve">C1, C2, C3, C7, C9</t>
  </si>
  <si>
    <t xml:space="preserve">C49678</t>
  </si>
  <si>
    <t xml:space="preserve">C1–C3 WS2812B, C7 RFM95W, C9 microSD.</t>
  </si>
  <si>
    <t xml:space="preserve">Capacitor 10 µF 25 V X5R</t>
  </si>
  <si>
    <t xml:space="preserve">CL21A106KAYNNNE</t>
  </si>
  <si>
    <t xml:space="preserve">C4, C5, C6, C8</t>
  </si>
  <si>
    <t xml:space="preserve">C15850</t>
  </si>
  <si>
    <t xml:space="preserve">C4–C6 WS2812B, C8 RFM95W. UNIT part is TMK212BBJ106KG-T (same spec).</t>
  </si>
  <si>
    <t xml:space="preserve">Capacitor 22 µF 25 V X5R</t>
  </si>
  <si>
    <t xml:space="preserve">CL21A226MAQNNNE</t>
  </si>
  <si>
    <t xml:space="preserve">C10</t>
  </si>
  <si>
    <t xml:space="preserve">C45783</t>
  </si>
  <si>
    <t xml:space="preserve">microSD bulk capacitor.</t>
  </si>
  <si>
    <t xml:space="preserve">Parts placed per board (excl. DNP and PCB-only rows)</t>
  </si>
  <si>
    <t xml:space="preserve">Parts to order for all boards</t>
  </si>
  <si>
    <t xml:space="preserve">Parts found at UNIT Electronics (lines)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</si>
</sst>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C6EFCE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uelectronics.com/producto/esp32-devkitc-v4-esp32-wroom-32d-32u/" TargetMode="External"/><Relationship Id="rId2" Type="http://schemas.openxmlformats.org/officeDocument/2006/relationships/hyperlink" Target="https://www.mouser.mx/c/?q=ESP32-DevKitC-32D" TargetMode="External"/><Relationship Id="rId3" Type="http://schemas.openxmlformats.org/officeDocument/2006/relationships/hyperlink" Target="https://www.digikey.com.mx/es/products/result?keywords=ESP32-DevKitC-32D" TargetMode="External"/><Relationship Id="rId4" Type="http://schemas.openxmlformats.org/officeDocument/2006/relationships/hyperlink" Target="https://www.snapeda.com/parts/ESP32-DEVKITC/Espressif%20Systems/view-part/" TargetMode="External"/><Relationship Id="rId5" Type="http://schemas.openxmlformats.org/officeDocument/2006/relationships/hyperlink" Target="https://www.mouser.mx/c/?q=Adafruit%20746" TargetMode="External"/><Relationship Id="rId6" Type="http://schemas.openxmlformats.org/officeDocument/2006/relationships/hyperlink" Target="https://www.digikey.com.mx/es/products/result?keywords=Adafruit%20746" TargetMode="External"/><Relationship Id="rId7" Type="http://schemas.openxmlformats.org/officeDocument/2006/relationships/hyperlink" Target="https://uelectronics.com/producto/lector-de-memorias-micro-sd-para-arduino/" TargetMode="External"/><Relationship Id="rId8" Type="http://schemas.openxmlformats.org/officeDocument/2006/relationships/hyperlink" Target="https://uelectronics.com/producto/tira-header-hembra-2-54mm-diferentes-pines/" TargetMode="External"/><Relationship Id="rId9" Type="http://schemas.openxmlformats.org/officeDocument/2006/relationships/hyperlink" Target="https://www.mouser.mx/c/?q=PPTC191LFBN-RC" TargetMode="External"/><Relationship Id="rId10" Type="http://schemas.openxmlformats.org/officeDocument/2006/relationships/hyperlink" Target="https://www.digikey.com.mx/es/products/result?keywords=PPTC191LFBN-RC" TargetMode="External"/><Relationship Id="rId11" Type="http://schemas.openxmlformats.org/officeDocument/2006/relationships/hyperlink" Target="https://uelectronics.com/producto/tira-header-hembra-2-54mm-diferentes-pines/" TargetMode="External"/><Relationship Id="rId12" Type="http://schemas.openxmlformats.org/officeDocument/2006/relationships/hyperlink" Target="https://www.mouser.mx/c/?q=PPTC091LFBN-RC" TargetMode="External"/><Relationship Id="rId13" Type="http://schemas.openxmlformats.org/officeDocument/2006/relationships/hyperlink" Target="https://www.digikey.com.mx/es/products/result?keywords=PPTC091LFBN-RC" TargetMode="External"/><Relationship Id="rId14" Type="http://schemas.openxmlformats.org/officeDocument/2006/relationships/hyperlink" Target="https://uelectronics.com/producto/rfm95w-915mhz-transceptor-lora/" TargetMode="External"/><Relationship Id="rId15" Type="http://schemas.openxmlformats.org/officeDocument/2006/relationships/hyperlink" Target="https://www.lcsc.com/product-detail/C6760738.html" TargetMode="External"/><Relationship Id="rId16" Type="http://schemas.openxmlformats.org/officeDocument/2006/relationships/hyperlink" Target="https://www.mouser.mx/c/?q=RFM95W-915S2" TargetMode="External"/><Relationship Id="rId17" Type="http://schemas.openxmlformats.org/officeDocument/2006/relationships/hyperlink" Target="https://www.digikey.com.mx/es/products/result?keywords=RFM95W-915S2" TargetMode="External"/><Relationship Id="rId18" Type="http://schemas.openxmlformats.org/officeDocument/2006/relationships/hyperlink" Target="https://www.snapeda.com/parts/RFM95W-915S2/HOPERF/view-part/" TargetMode="External"/><Relationship Id="rId19" Type="http://schemas.openxmlformats.org/officeDocument/2006/relationships/hyperlink" Target="https://uelectronics.com/producto/conectores-sma-hembra-vertical-y-horizontal/" TargetMode="External"/><Relationship Id="rId20" Type="http://schemas.openxmlformats.org/officeDocument/2006/relationships/hyperlink" Target="https://www.lcsc.com/product-detail/C496549.html" TargetMode="External"/><Relationship Id="rId21" Type="http://schemas.openxmlformats.org/officeDocument/2006/relationships/hyperlink" Target="https://www.mouser.mx/c/?q=BWSMA-KE-Z001" TargetMode="External"/><Relationship Id="rId22" Type="http://schemas.openxmlformats.org/officeDocument/2006/relationships/hyperlink" Target="https://www.digikey.com.mx/es/products/result?keywords=BWSMA-KE-Z001" TargetMode="External"/><Relationship Id="rId23" Type="http://schemas.openxmlformats.org/officeDocument/2006/relationships/hyperlink" Target="https://www.snapeda.com/search/?q=BWSMA-KE-Z001" TargetMode="External"/><Relationship Id="rId24" Type="http://schemas.openxmlformats.org/officeDocument/2006/relationships/hyperlink" Target="https://uelectronics.com/producto/thd2528-11sd-gf-conector-para-memoria-micro-sd/" TargetMode="External"/><Relationship Id="rId25" Type="http://schemas.openxmlformats.org/officeDocument/2006/relationships/hyperlink" Target="https://www.lcsc.com/product-detail/C283232.html" TargetMode="External"/><Relationship Id="rId26" Type="http://schemas.openxmlformats.org/officeDocument/2006/relationships/hyperlink" Target="https://www.mouser.mx/c/?q=THD2528-11SD-GF" TargetMode="External"/><Relationship Id="rId27" Type="http://schemas.openxmlformats.org/officeDocument/2006/relationships/hyperlink" Target="https://www.digikey.com.mx/es/products/result?keywords=THD2528-11SD-GF" TargetMode="External"/><Relationship Id="rId28" Type="http://schemas.openxmlformats.org/officeDocument/2006/relationships/hyperlink" Target="https://www.snapeda.com/search/?q=THD2528-11SD-GF" TargetMode="External"/><Relationship Id="rId29" Type="http://schemas.openxmlformats.org/officeDocument/2006/relationships/hyperlink" Target="https://uelectronics.com/producto/tira-header-hembra-2-54mm-diferentes-pines/" TargetMode="External"/><Relationship Id="rId30" Type="http://schemas.openxmlformats.org/officeDocument/2006/relationships/hyperlink" Target="https://www.mouser.mx/c/?q=TSW-106-07-S-S-LL" TargetMode="External"/><Relationship Id="rId31" Type="http://schemas.openxmlformats.org/officeDocument/2006/relationships/hyperlink" Target="https://www.digikey.com.mx/es/products/result?keywords=TSW-106-07-S-S-LL" TargetMode="External"/><Relationship Id="rId32" Type="http://schemas.openxmlformats.org/officeDocument/2006/relationships/hyperlink" Target="https://www.snapeda.com/search/?q=TSW-106-07-S-S-LL" TargetMode="External"/><Relationship Id="rId33" Type="http://schemas.openxmlformats.org/officeDocument/2006/relationships/hyperlink" Target="https://uelectronics.com/producto/neopixel-rgb-5x5mm-smd-ws2812b-b/" TargetMode="External"/><Relationship Id="rId34" Type="http://schemas.openxmlformats.org/officeDocument/2006/relationships/hyperlink" Target="https://www.lcsc.com/product-detail/C2761795.html" TargetMode="External"/><Relationship Id="rId35" Type="http://schemas.openxmlformats.org/officeDocument/2006/relationships/hyperlink" Target="https://www.mouser.mx/c/?q=WS2812B-B/T" TargetMode="External"/><Relationship Id="rId36" Type="http://schemas.openxmlformats.org/officeDocument/2006/relationships/hyperlink" Target="https://www.digikey.com.mx/es/products/result?keywords=WS2812B-B/T" TargetMode="External"/><Relationship Id="rId37" Type="http://schemas.openxmlformats.org/officeDocument/2006/relationships/hyperlink" Target="https://www.snapeda.com/search/?q=WS2812B-B/T" TargetMode="External"/><Relationship Id="rId38" Type="http://schemas.openxmlformats.org/officeDocument/2006/relationships/hyperlink" Target="https://www.lcsc.com/product-detail/C94599.html" TargetMode="External"/><Relationship Id="rId39" Type="http://schemas.openxmlformats.org/officeDocument/2006/relationships/hyperlink" Target="https://www.mouser.mx/c/?q=MLT-8530" TargetMode="External"/><Relationship Id="rId40" Type="http://schemas.openxmlformats.org/officeDocument/2006/relationships/hyperlink" Target="https://www.digikey.com.mx/es/products/result?keywords=MLT-8530" TargetMode="External"/><Relationship Id="rId41" Type="http://schemas.openxmlformats.org/officeDocument/2006/relationships/hyperlink" Target="https://www.snapeda.com/search/?q=MLT-8530" TargetMode="External"/><Relationship Id="rId42" Type="http://schemas.openxmlformats.org/officeDocument/2006/relationships/hyperlink" Target="https://www.lcsc.com/product-detail/C116738.html" TargetMode="External"/><Relationship Id="rId43" Type="http://schemas.openxmlformats.org/officeDocument/2006/relationships/hyperlink" Target="https://www.mouser.mx/c/?q=NTS4001NT1G" TargetMode="External"/><Relationship Id="rId44" Type="http://schemas.openxmlformats.org/officeDocument/2006/relationships/hyperlink" Target="https://www.digikey.com.mx/es/products/result?keywords=NTS4001NT1G" TargetMode="External"/><Relationship Id="rId45" Type="http://schemas.openxmlformats.org/officeDocument/2006/relationships/hyperlink" Target="https://www.snapeda.com/search/?q=NTS4001NT1G" TargetMode="External"/><Relationship Id="rId46" Type="http://schemas.openxmlformats.org/officeDocument/2006/relationships/hyperlink" Target="https://uelectronics.com/producto/1n4148w-diodo-75v-150ma-smd/" TargetMode="External"/><Relationship Id="rId47" Type="http://schemas.openxmlformats.org/officeDocument/2006/relationships/hyperlink" Target="https://www.lcsc.com/product-detail/C81598.html" TargetMode="External"/><Relationship Id="rId48" Type="http://schemas.openxmlformats.org/officeDocument/2006/relationships/hyperlink" Target="https://www.mouser.mx/c/?q=1N4148W-7" TargetMode="External"/><Relationship Id="rId49" Type="http://schemas.openxmlformats.org/officeDocument/2006/relationships/hyperlink" Target="https://www.digikey.com.mx/es/products/result?keywords=1N4148W-7" TargetMode="External"/><Relationship Id="rId50" Type="http://schemas.openxmlformats.org/officeDocument/2006/relationships/hyperlink" Target="https://www.snapeda.com/parts/1N4148W-7-F/Diodes%20Inc./view-part/" TargetMode="External"/><Relationship Id="rId51" Type="http://schemas.openxmlformats.org/officeDocument/2006/relationships/hyperlink" Target="https://uelectronics.com/producto/resistencias-smd-0603/" TargetMode="External"/><Relationship Id="rId52" Type="http://schemas.openxmlformats.org/officeDocument/2006/relationships/hyperlink" Target="https://www.lcsc.com/product-detail/C23162.html" TargetMode="External"/><Relationship Id="rId53" Type="http://schemas.openxmlformats.org/officeDocument/2006/relationships/hyperlink" Target="https://www.mouser.mx/c/?q=0603WAF4701T5E" TargetMode="External"/><Relationship Id="rId54" Type="http://schemas.openxmlformats.org/officeDocument/2006/relationships/hyperlink" Target="https://www.digikey.com.mx/es/products/result?keywords=0603WAF4701T5E" TargetMode="External"/><Relationship Id="rId55" Type="http://schemas.openxmlformats.org/officeDocument/2006/relationships/hyperlink" Target="https://uelectronics.com/producto/resistencias-smd-0603/" TargetMode="External"/><Relationship Id="rId56" Type="http://schemas.openxmlformats.org/officeDocument/2006/relationships/hyperlink" Target="https://www.lcsc.com/product-detail/C23140.html" TargetMode="External"/><Relationship Id="rId57" Type="http://schemas.openxmlformats.org/officeDocument/2006/relationships/hyperlink" Target="https://www.mouser.mx/c/?q=0603WAF330JT5E" TargetMode="External"/><Relationship Id="rId58" Type="http://schemas.openxmlformats.org/officeDocument/2006/relationships/hyperlink" Target="https://www.digikey.com.mx/es/products/result?keywords=0603WAF330JT5E" TargetMode="External"/><Relationship Id="rId59" Type="http://schemas.openxmlformats.org/officeDocument/2006/relationships/hyperlink" Target="https://uelectronics.com/producto/resistencias-smd-0603/" TargetMode="External"/><Relationship Id="rId60" Type="http://schemas.openxmlformats.org/officeDocument/2006/relationships/hyperlink" Target="https://www.lcsc.com/product-detail/C25804.html" TargetMode="External"/><Relationship Id="rId61" Type="http://schemas.openxmlformats.org/officeDocument/2006/relationships/hyperlink" Target="https://www.mouser.mx/c/?q=0603WAF1002T5E" TargetMode="External"/><Relationship Id="rId62" Type="http://schemas.openxmlformats.org/officeDocument/2006/relationships/hyperlink" Target="https://www.digikey.com.mx/es/products/result?keywords=0603WAF1002T5E" TargetMode="External"/><Relationship Id="rId63" Type="http://schemas.openxmlformats.org/officeDocument/2006/relationships/hyperlink" Target="https://uelectronics.com/producto/cc0805krx7r9bb104-capacitor-ceramico-0805-100nf-50v/" TargetMode="External"/><Relationship Id="rId64" Type="http://schemas.openxmlformats.org/officeDocument/2006/relationships/hyperlink" Target="https://www.lcsc.com/product-detail/C49678.html" TargetMode="External"/><Relationship Id="rId65" Type="http://schemas.openxmlformats.org/officeDocument/2006/relationships/hyperlink" Target="https://www.mouser.mx/c/?q=CC0805KRX7R9BB104" TargetMode="External"/><Relationship Id="rId66" Type="http://schemas.openxmlformats.org/officeDocument/2006/relationships/hyperlink" Target="https://www.digikey.com.mx/es/products/result?keywords=CC0805KRX7R9BB104" TargetMode="External"/><Relationship Id="rId67" Type="http://schemas.openxmlformats.org/officeDocument/2006/relationships/hyperlink" Target="https://uelectronics.com/producto/tmk212bbj106kg-t-capacitor-ceramico-0805-10uf-25v/" TargetMode="External"/><Relationship Id="rId68" Type="http://schemas.openxmlformats.org/officeDocument/2006/relationships/hyperlink" Target="https://www.lcsc.com/product-detail/C15850.html" TargetMode="External"/><Relationship Id="rId69" Type="http://schemas.openxmlformats.org/officeDocument/2006/relationships/hyperlink" Target="https://www.mouser.mx/c/?q=CL21A106KAYNNNE" TargetMode="External"/><Relationship Id="rId70" Type="http://schemas.openxmlformats.org/officeDocument/2006/relationships/hyperlink" Target="https://www.digikey.com.mx/es/products/result?keywords=CL21A106KAYNNNE" TargetMode="External"/><Relationship Id="rId71" Type="http://schemas.openxmlformats.org/officeDocument/2006/relationships/hyperlink" Target="https://uelectronics.com/producto/cl21a226maqnnne-capacitor-ceramico-0805-22uf-25v/" TargetMode="External"/><Relationship Id="rId72" Type="http://schemas.openxmlformats.org/officeDocument/2006/relationships/hyperlink" Target="https://www.lcsc.com/product-detail/C45783.html" TargetMode="External"/><Relationship Id="rId73" Type="http://schemas.openxmlformats.org/officeDocument/2006/relationships/hyperlink" Target="https://www.mouser.mx/c/?q=CL21A226MAQNNNE" TargetMode="External"/><Relationship Id="rId74" Type="http://schemas.openxmlformats.org/officeDocument/2006/relationships/hyperlink" Target="https://www.digikey.com.mx/es/products/result?keywords=CL21A226MAQNNN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0"/>
    <col collapsed="false" customWidth="true" hidden="false" outlineLevel="0" max="3" min="3" style="0" width="26"/>
    <col collapsed="false" customWidth="true" hidden="false" outlineLevel="0" max="4" min="4" style="0" width="30"/>
    <col collapsed="false" customWidth="true" hidden="false" outlineLevel="0" max="5" min="5" style="0" width="8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27"/>
    <col collapsed="false" customWidth="true" hidden="false" outlineLevel="0" max="12" min="12" style="0" width="60"/>
  </cols>
  <sheetData>
    <row r="1" customFormat="false" ht="17.35" hidden="false" customHeight="false" outlineLevel="0" collapsed="false">
      <c r="A1" s="1" t="s">
        <v>0</v>
      </c>
      <c r="J1" s="2" t="s">
        <v>1</v>
      </c>
      <c r="K1" s="3" t="n">
        <v>3</v>
      </c>
      <c r="L1" s="4" t="s">
        <v>2</v>
      </c>
    </row>
    <row r="2" customFormat="false" ht="39.75" hidden="false" customHeight="true" outlineLevel="0" collapsed="false">
      <c r="A2" s="5" t="s">
        <v>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customFormat="false" ht="39.75" hidden="false" customHeight="true" outlineLevel="0" collapsed="false">
      <c r="A3" s="6" t="s">
        <v>4</v>
      </c>
      <c r="B3" s="6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6" t="s">
        <v>10</v>
      </c>
      <c r="H3" s="6" t="s">
        <v>11</v>
      </c>
      <c r="I3" s="6" t="s">
        <v>12</v>
      </c>
      <c r="J3" s="6" t="s">
        <v>13</v>
      </c>
      <c r="K3" s="6" t="s">
        <v>14</v>
      </c>
      <c r="L3" s="6" t="s">
        <v>15</v>
      </c>
    </row>
    <row r="4" customFormat="false" ht="15" hidden="false" customHeight="false" outlineLevel="0" collapsed="false">
      <c r="A4" s="7" t="s">
        <v>16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customFormat="false" ht="45" hidden="false" customHeight="true" outlineLevel="0" collapsed="false">
      <c r="A5" s="8" t="s">
        <v>17</v>
      </c>
      <c r="B5" s="8" t="s">
        <v>18</v>
      </c>
      <c r="C5" s="8" t="s">
        <v>19</v>
      </c>
      <c r="D5" s="8" t="s">
        <v>20</v>
      </c>
      <c r="E5" s="9" t="n">
        <v>1</v>
      </c>
      <c r="F5" s="9" t="n">
        <f aca="false">IF(OR(LEFT(A5,3)="DNP",A5="PCB only"),0,E5*$K$1)</f>
        <v>3</v>
      </c>
      <c r="G5" s="10" t="s">
        <v>21</v>
      </c>
      <c r="H5" s="8" t="s">
        <v>22</v>
      </c>
      <c r="I5" s="10" t="s">
        <v>23</v>
      </c>
      <c r="J5" s="10" t="s">
        <v>24</v>
      </c>
      <c r="K5" s="10" t="s">
        <v>25</v>
      </c>
      <c r="L5" s="8" t="s">
        <v>26</v>
      </c>
    </row>
    <row r="6" customFormat="false" ht="45" hidden="false" customHeight="true" outlineLevel="0" collapsed="false">
      <c r="A6" s="11" t="s">
        <v>27</v>
      </c>
      <c r="B6" s="11" t="s">
        <v>28</v>
      </c>
      <c r="C6" s="11" t="s">
        <v>29</v>
      </c>
      <c r="D6" s="11" t="s">
        <v>30</v>
      </c>
      <c r="E6" s="12" t="n">
        <v>1</v>
      </c>
      <c r="F6" s="12" t="n">
        <f aca="false">IF(OR(LEFT(A6,3)="DNP",A6="PCB only"),0,E6*$K$1)</f>
        <v>3</v>
      </c>
      <c r="G6" s="11" t="s">
        <v>31</v>
      </c>
      <c r="H6" s="11" t="s">
        <v>22</v>
      </c>
      <c r="I6" s="13" t="s">
        <v>23</v>
      </c>
      <c r="J6" s="13" t="s">
        <v>24</v>
      </c>
      <c r="K6" s="11" t="s">
        <v>32</v>
      </c>
      <c r="L6" s="11" t="s">
        <v>33</v>
      </c>
    </row>
    <row r="7" customFormat="false" ht="45" hidden="false" customHeight="true" outlineLevel="0" collapsed="false">
      <c r="A7" s="8" t="s">
        <v>17</v>
      </c>
      <c r="B7" s="8" t="s">
        <v>34</v>
      </c>
      <c r="C7" s="8" t="s">
        <v>35</v>
      </c>
      <c r="D7" s="8" t="s">
        <v>36</v>
      </c>
      <c r="E7" s="9" t="n">
        <v>1</v>
      </c>
      <c r="F7" s="9" t="n">
        <f aca="false">IF(OR(LEFT(A7,3)="DNP",A7="PCB only"),0,E7*$K$1)</f>
        <v>3</v>
      </c>
      <c r="G7" s="10" t="s">
        <v>21</v>
      </c>
      <c r="H7" s="8" t="s">
        <v>22</v>
      </c>
      <c r="I7" s="8" t="s">
        <v>22</v>
      </c>
      <c r="J7" s="8" t="s">
        <v>22</v>
      </c>
      <c r="K7" s="8" t="s">
        <v>37</v>
      </c>
      <c r="L7" s="8" t="s">
        <v>38</v>
      </c>
    </row>
    <row r="8" customFormat="false" ht="15" hidden="false" customHeight="false" outlineLevel="0" collapsed="false">
      <c r="A8" s="7" t="s">
        <v>39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</row>
    <row r="9" customFormat="false" ht="31.5" hidden="false" customHeight="true" outlineLevel="0" collapsed="false">
      <c r="A9" s="8" t="s">
        <v>17</v>
      </c>
      <c r="B9" s="8" t="s">
        <v>40</v>
      </c>
      <c r="C9" s="8" t="s">
        <v>41</v>
      </c>
      <c r="D9" s="8" t="s">
        <v>42</v>
      </c>
      <c r="E9" s="9" t="n">
        <v>2</v>
      </c>
      <c r="F9" s="9" t="n">
        <f aca="false">IF(OR(LEFT(A9,3)="DNP",A9="PCB only"),0,E9*$K$1)</f>
        <v>6</v>
      </c>
      <c r="G9" s="10" t="s">
        <v>21</v>
      </c>
      <c r="H9" s="8" t="s">
        <v>22</v>
      </c>
      <c r="I9" s="10" t="s">
        <v>23</v>
      </c>
      <c r="J9" s="10" t="s">
        <v>24</v>
      </c>
      <c r="K9" s="8" t="s">
        <v>43</v>
      </c>
      <c r="L9" s="8" t="s">
        <v>44</v>
      </c>
    </row>
    <row r="10" customFormat="false" ht="31.5" hidden="false" customHeight="true" outlineLevel="0" collapsed="false">
      <c r="A10" s="8" t="s">
        <v>17</v>
      </c>
      <c r="B10" s="8" t="s">
        <v>45</v>
      </c>
      <c r="C10" s="8" t="s">
        <v>46</v>
      </c>
      <c r="D10" s="8" t="s">
        <v>47</v>
      </c>
      <c r="E10" s="9" t="n">
        <v>1</v>
      </c>
      <c r="F10" s="9" t="n">
        <f aca="false">IF(OR(LEFT(A10,3)="DNP",A10="PCB only"),0,E10*$K$1)</f>
        <v>3</v>
      </c>
      <c r="G10" s="10" t="s">
        <v>21</v>
      </c>
      <c r="H10" s="8" t="s">
        <v>22</v>
      </c>
      <c r="I10" s="10" t="s">
        <v>23</v>
      </c>
      <c r="J10" s="10" t="s">
        <v>24</v>
      </c>
      <c r="K10" s="8" t="s">
        <v>43</v>
      </c>
      <c r="L10" s="8" t="s">
        <v>48</v>
      </c>
    </row>
    <row r="11" customFormat="false" ht="15" hidden="false" customHeight="false" outlineLevel="0" collapsed="false">
      <c r="A11" s="7" t="s">
        <v>49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</row>
    <row r="12" customFormat="false" ht="31.5" hidden="false" customHeight="true" outlineLevel="0" collapsed="false">
      <c r="A12" s="14" t="s">
        <v>50</v>
      </c>
      <c r="B12" s="14" t="s">
        <v>51</v>
      </c>
      <c r="C12" s="14" t="s">
        <v>52</v>
      </c>
      <c r="D12" s="14" t="s">
        <v>53</v>
      </c>
      <c r="E12" s="15" t="n">
        <v>1</v>
      </c>
      <c r="F12" s="15" t="n">
        <f aca="false">IF(OR(LEFT(A12,3)="DNP",A12="PCB only"),0,E12*$K$1)</f>
        <v>3</v>
      </c>
      <c r="G12" s="16" t="s">
        <v>21</v>
      </c>
      <c r="H12" s="16" t="s">
        <v>54</v>
      </c>
      <c r="I12" s="16" t="s">
        <v>23</v>
      </c>
      <c r="J12" s="16" t="s">
        <v>24</v>
      </c>
      <c r="K12" s="16" t="s">
        <v>55</v>
      </c>
      <c r="L12" s="14" t="s">
        <v>56</v>
      </c>
    </row>
    <row r="13" customFormat="false" ht="45" hidden="false" customHeight="true" outlineLevel="0" collapsed="false">
      <c r="A13" s="14" t="s">
        <v>50</v>
      </c>
      <c r="B13" s="14" t="s">
        <v>57</v>
      </c>
      <c r="C13" s="14" t="s">
        <v>58</v>
      </c>
      <c r="D13" s="14" t="s">
        <v>59</v>
      </c>
      <c r="E13" s="15" t="n">
        <v>1</v>
      </c>
      <c r="F13" s="15" t="n">
        <f aca="false">IF(OR(LEFT(A13,3)="DNP",A13="PCB only"),0,E13*$K$1)</f>
        <v>3</v>
      </c>
      <c r="G13" s="16" t="s">
        <v>21</v>
      </c>
      <c r="H13" s="16" t="s">
        <v>60</v>
      </c>
      <c r="I13" s="16" t="s">
        <v>23</v>
      </c>
      <c r="J13" s="16" t="s">
        <v>24</v>
      </c>
      <c r="K13" s="16" t="s">
        <v>61</v>
      </c>
      <c r="L13" s="14" t="s">
        <v>62</v>
      </c>
    </row>
    <row r="14" customFormat="false" ht="15" hidden="false" customHeight="false" outlineLevel="0" collapsed="false">
      <c r="A14" s="7" t="s">
        <v>63</v>
      </c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</row>
    <row r="15" customFormat="false" ht="45" hidden="false" customHeight="true" outlineLevel="0" collapsed="false">
      <c r="A15" s="14" t="s">
        <v>50</v>
      </c>
      <c r="B15" s="14" t="s">
        <v>64</v>
      </c>
      <c r="C15" s="14" t="s">
        <v>65</v>
      </c>
      <c r="D15" s="14" t="s">
        <v>66</v>
      </c>
      <c r="E15" s="15" t="n">
        <v>1</v>
      </c>
      <c r="F15" s="15" t="n">
        <f aca="false">IF(OR(LEFT(A15,3)="DNP",A15="PCB only"),0,E15*$K$1)</f>
        <v>3</v>
      </c>
      <c r="G15" s="16" t="s">
        <v>21</v>
      </c>
      <c r="H15" s="16" t="s">
        <v>67</v>
      </c>
      <c r="I15" s="16" t="s">
        <v>23</v>
      </c>
      <c r="J15" s="16" t="s">
        <v>24</v>
      </c>
      <c r="K15" s="16" t="s">
        <v>61</v>
      </c>
      <c r="L15" s="14" t="s">
        <v>68</v>
      </c>
    </row>
    <row r="16" customFormat="false" ht="45" hidden="false" customHeight="true" outlineLevel="0" collapsed="false">
      <c r="A16" s="11" t="s">
        <v>69</v>
      </c>
      <c r="B16" s="11" t="s">
        <v>70</v>
      </c>
      <c r="C16" s="11" t="s">
        <v>71</v>
      </c>
      <c r="D16" s="11" t="s">
        <v>72</v>
      </c>
      <c r="E16" s="12" t="n">
        <v>1</v>
      </c>
      <c r="F16" s="12" t="n">
        <f aca="false">IF(OR(LEFT(A16,3)="DNP",A16="PCB only"),0,E16*$K$1)</f>
        <v>3</v>
      </c>
      <c r="G16" s="13" t="s">
        <v>21</v>
      </c>
      <c r="H16" s="11" t="s">
        <v>22</v>
      </c>
      <c r="I16" s="13" t="s">
        <v>23</v>
      </c>
      <c r="J16" s="13" t="s">
        <v>24</v>
      </c>
      <c r="K16" s="13" t="s">
        <v>61</v>
      </c>
      <c r="L16" s="11" t="s">
        <v>73</v>
      </c>
    </row>
    <row r="17" customFormat="false" ht="15" hidden="false" customHeight="false" outlineLevel="0" collapsed="false">
      <c r="A17" s="7" t="s">
        <v>74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customFormat="false" ht="31.5" hidden="false" customHeight="true" outlineLevel="0" collapsed="false">
      <c r="A18" s="14" t="s">
        <v>50</v>
      </c>
      <c r="B18" s="14" t="s">
        <v>75</v>
      </c>
      <c r="C18" s="14" t="s">
        <v>76</v>
      </c>
      <c r="D18" s="14" t="s">
        <v>77</v>
      </c>
      <c r="E18" s="15" t="n">
        <v>3</v>
      </c>
      <c r="F18" s="15" t="n">
        <f aca="false">IF(OR(LEFT(A18,3)="DNP",A18="PCB only"),0,E18*$K$1)</f>
        <v>9</v>
      </c>
      <c r="G18" s="16" t="s">
        <v>21</v>
      </c>
      <c r="H18" s="16" t="s">
        <v>78</v>
      </c>
      <c r="I18" s="16" t="s">
        <v>23</v>
      </c>
      <c r="J18" s="16" t="s">
        <v>24</v>
      </c>
      <c r="K18" s="16" t="s">
        <v>61</v>
      </c>
      <c r="L18" s="14" t="s">
        <v>79</v>
      </c>
    </row>
    <row r="19" customFormat="false" ht="31.5" hidden="false" customHeight="true" outlineLevel="0" collapsed="false">
      <c r="A19" s="14" t="s">
        <v>50</v>
      </c>
      <c r="B19" s="14" t="s">
        <v>80</v>
      </c>
      <c r="C19" s="14" t="s">
        <v>81</v>
      </c>
      <c r="D19" s="14" t="s">
        <v>82</v>
      </c>
      <c r="E19" s="15" t="n">
        <v>1</v>
      </c>
      <c r="F19" s="15" t="n">
        <f aca="false">IF(OR(LEFT(A19,3)="DNP",A19="PCB only"),0,E19*$K$1)</f>
        <v>3</v>
      </c>
      <c r="G19" s="14" t="s">
        <v>22</v>
      </c>
      <c r="H19" s="16" t="s">
        <v>83</v>
      </c>
      <c r="I19" s="16" t="s">
        <v>23</v>
      </c>
      <c r="J19" s="16" t="s">
        <v>24</v>
      </c>
      <c r="K19" s="16" t="s">
        <v>61</v>
      </c>
      <c r="L19" s="14" t="s">
        <v>84</v>
      </c>
    </row>
    <row r="20" customFormat="false" ht="31.5" hidden="false" customHeight="true" outlineLevel="0" collapsed="false">
      <c r="A20" s="14" t="s">
        <v>50</v>
      </c>
      <c r="B20" s="14" t="s">
        <v>85</v>
      </c>
      <c r="C20" s="14" t="s">
        <v>86</v>
      </c>
      <c r="D20" s="14" t="s">
        <v>87</v>
      </c>
      <c r="E20" s="15" t="n">
        <v>1</v>
      </c>
      <c r="F20" s="15" t="n">
        <f aca="false">IF(OR(LEFT(A20,3)="DNP",A20="PCB only"),0,E20*$K$1)</f>
        <v>3</v>
      </c>
      <c r="G20" s="14" t="s">
        <v>22</v>
      </c>
      <c r="H20" s="16" t="s">
        <v>88</v>
      </c>
      <c r="I20" s="16" t="s">
        <v>23</v>
      </c>
      <c r="J20" s="16" t="s">
        <v>24</v>
      </c>
      <c r="K20" s="16" t="s">
        <v>61</v>
      </c>
      <c r="L20" s="14" t="s">
        <v>89</v>
      </c>
    </row>
    <row r="21" customFormat="false" ht="24" hidden="false" customHeight="true" outlineLevel="0" collapsed="false">
      <c r="A21" s="14" t="s">
        <v>50</v>
      </c>
      <c r="B21" s="14" t="s">
        <v>90</v>
      </c>
      <c r="C21" s="14" t="s">
        <v>91</v>
      </c>
      <c r="D21" s="14" t="s">
        <v>92</v>
      </c>
      <c r="E21" s="15" t="n">
        <v>1</v>
      </c>
      <c r="F21" s="15" t="n">
        <f aca="false">IF(OR(LEFT(A21,3)="DNP",A21="PCB only"),0,E21*$K$1)</f>
        <v>3</v>
      </c>
      <c r="G21" s="16" t="s">
        <v>21</v>
      </c>
      <c r="H21" s="16" t="s">
        <v>93</v>
      </c>
      <c r="I21" s="16" t="s">
        <v>23</v>
      </c>
      <c r="J21" s="16" t="s">
        <v>24</v>
      </c>
      <c r="K21" s="16" t="s">
        <v>94</v>
      </c>
      <c r="L21" s="14" t="s">
        <v>95</v>
      </c>
    </row>
    <row r="22" customFormat="false" ht="15" hidden="false" customHeight="false" outlineLevel="0" collapsed="false">
      <c r="A22" s="7" t="s">
        <v>96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customFormat="false" ht="24" hidden="false" customHeight="true" outlineLevel="0" collapsed="false">
      <c r="A23" s="8" t="s">
        <v>17</v>
      </c>
      <c r="B23" s="8" t="s">
        <v>97</v>
      </c>
      <c r="C23" s="8" t="s">
        <v>98</v>
      </c>
      <c r="D23" s="8" t="s">
        <v>99</v>
      </c>
      <c r="E23" s="9" t="n">
        <v>1</v>
      </c>
      <c r="F23" s="9" t="n">
        <f aca="false">IF(OR(LEFT(A23,3)="DNP",A23="PCB only"),0,E23*$K$1)</f>
        <v>3</v>
      </c>
      <c r="G23" s="10" t="s">
        <v>21</v>
      </c>
      <c r="H23" s="10" t="s">
        <v>100</v>
      </c>
      <c r="I23" s="10" t="s">
        <v>23</v>
      </c>
      <c r="J23" s="10" t="s">
        <v>24</v>
      </c>
      <c r="K23" s="8" t="s">
        <v>101</v>
      </c>
      <c r="L23" s="8" t="s">
        <v>102</v>
      </c>
    </row>
    <row r="24" customFormat="false" ht="24" hidden="false" customHeight="true" outlineLevel="0" collapsed="false">
      <c r="A24" s="8" t="s">
        <v>17</v>
      </c>
      <c r="B24" s="8" t="s">
        <v>103</v>
      </c>
      <c r="C24" s="8" t="s">
        <v>104</v>
      </c>
      <c r="D24" s="8" t="s">
        <v>105</v>
      </c>
      <c r="E24" s="9" t="n">
        <v>1</v>
      </c>
      <c r="F24" s="9" t="n">
        <f aca="false">IF(OR(LEFT(A24,3)="DNP",A24="PCB only"),0,E24*$K$1)</f>
        <v>3</v>
      </c>
      <c r="G24" s="10" t="s">
        <v>21</v>
      </c>
      <c r="H24" s="10" t="s">
        <v>106</v>
      </c>
      <c r="I24" s="10" t="s">
        <v>23</v>
      </c>
      <c r="J24" s="10" t="s">
        <v>24</v>
      </c>
      <c r="K24" s="8" t="s">
        <v>101</v>
      </c>
      <c r="L24" s="8" t="s">
        <v>107</v>
      </c>
    </row>
    <row r="25" customFormat="false" ht="31.5" hidden="false" customHeight="true" outlineLevel="0" collapsed="false">
      <c r="A25" s="14" t="s">
        <v>50</v>
      </c>
      <c r="B25" s="14" t="s">
        <v>108</v>
      </c>
      <c r="C25" s="14" t="s">
        <v>109</v>
      </c>
      <c r="D25" s="14" t="s">
        <v>110</v>
      </c>
      <c r="E25" s="15" t="n">
        <v>6</v>
      </c>
      <c r="F25" s="15" t="n">
        <f aca="false">IF(OR(LEFT(A25,3)="DNP",A25="PCB only"),0,E25*$K$1)</f>
        <v>18</v>
      </c>
      <c r="G25" s="16" t="s">
        <v>21</v>
      </c>
      <c r="H25" s="16" t="s">
        <v>111</v>
      </c>
      <c r="I25" s="16" t="s">
        <v>23</v>
      </c>
      <c r="J25" s="16" t="s">
        <v>24</v>
      </c>
      <c r="K25" s="14" t="s">
        <v>101</v>
      </c>
      <c r="L25" s="14" t="s">
        <v>112</v>
      </c>
    </row>
    <row r="26" customFormat="false" ht="15" hidden="false" customHeight="false" outlineLevel="0" collapsed="false">
      <c r="A26" s="7" t="s">
        <v>113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customFormat="false" ht="24" hidden="false" customHeight="true" outlineLevel="0" collapsed="false">
      <c r="A27" s="14" t="s">
        <v>50</v>
      </c>
      <c r="B27" s="14" t="s">
        <v>114</v>
      </c>
      <c r="C27" s="14" t="s">
        <v>115</v>
      </c>
      <c r="D27" s="14" t="s">
        <v>116</v>
      </c>
      <c r="E27" s="15" t="n">
        <v>5</v>
      </c>
      <c r="F27" s="15" t="n">
        <f aca="false">IF(OR(LEFT(A27,3)="DNP",A27="PCB only"),0,E27*$K$1)</f>
        <v>15</v>
      </c>
      <c r="G27" s="16" t="s">
        <v>21</v>
      </c>
      <c r="H27" s="16" t="s">
        <v>117</v>
      </c>
      <c r="I27" s="16" t="s">
        <v>23</v>
      </c>
      <c r="J27" s="16" t="s">
        <v>24</v>
      </c>
      <c r="K27" s="14" t="s">
        <v>101</v>
      </c>
      <c r="L27" s="14" t="s">
        <v>118</v>
      </c>
    </row>
    <row r="28" customFormat="false" ht="31.5" hidden="false" customHeight="true" outlineLevel="0" collapsed="false">
      <c r="A28" s="14" t="s">
        <v>50</v>
      </c>
      <c r="B28" s="14" t="s">
        <v>119</v>
      </c>
      <c r="C28" s="14" t="s">
        <v>120</v>
      </c>
      <c r="D28" s="14" t="s">
        <v>121</v>
      </c>
      <c r="E28" s="15" t="n">
        <v>4</v>
      </c>
      <c r="F28" s="15" t="n">
        <f aca="false">IF(OR(LEFT(A28,3)="DNP",A28="PCB only"),0,E28*$K$1)</f>
        <v>12</v>
      </c>
      <c r="G28" s="16" t="s">
        <v>21</v>
      </c>
      <c r="H28" s="16" t="s">
        <v>122</v>
      </c>
      <c r="I28" s="16" t="s">
        <v>23</v>
      </c>
      <c r="J28" s="16" t="s">
        <v>24</v>
      </c>
      <c r="K28" s="14" t="s">
        <v>101</v>
      </c>
      <c r="L28" s="14" t="s">
        <v>123</v>
      </c>
    </row>
    <row r="29" customFormat="false" ht="24" hidden="false" customHeight="true" outlineLevel="0" collapsed="false">
      <c r="A29" s="14" t="s">
        <v>50</v>
      </c>
      <c r="B29" s="14" t="s">
        <v>124</v>
      </c>
      <c r="C29" s="14" t="s">
        <v>125</v>
      </c>
      <c r="D29" s="14" t="s">
        <v>126</v>
      </c>
      <c r="E29" s="15" t="n">
        <v>1</v>
      </c>
      <c r="F29" s="15" t="n">
        <f aca="false">IF(OR(LEFT(A29,3)="DNP",A29="PCB only"),0,E29*$K$1)</f>
        <v>3</v>
      </c>
      <c r="G29" s="16" t="s">
        <v>21</v>
      </c>
      <c r="H29" s="16" t="s">
        <v>127</v>
      </c>
      <c r="I29" s="16" t="s">
        <v>23</v>
      </c>
      <c r="J29" s="16" t="s">
        <v>24</v>
      </c>
      <c r="K29" s="14" t="s">
        <v>101</v>
      </c>
      <c r="L29" s="14" t="s">
        <v>128</v>
      </c>
    </row>
    <row r="31" customFormat="false" ht="15" hidden="false" customHeight="false" outlineLevel="0" collapsed="false">
      <c r="B31" s="17" t="s">
        <v>129</v>
      </c>
      <c r="E31" s="18" t="n">
        <f aca="false">SUMPRODUCT((LEFT(A4:A29,3)&lt;&gt;"DNP")*(A4:A29&lt;&gt;"PCB only")*(E4:E29))</f>
        <v>34</v>
      </c>
    </row>
    <row r="32" customFormat="false" ht="15" hidden="false" customHeight="false" outlineLevel="0" collapsed="false">
      <c r="B32" s="17" t="s">
        <v>130</v>
      </c>
      <c r="E32" s="18" t="n">
        <f aca="false">SUM(F4:F29)</f>
        <v>102</v>
      </c>
    </row>
    <row r="33" customFormat="false" ht="15" hidden="false" customHeight="false" outlineLevel="0" collapsed="false">
      <c r="B33" s="17" t="s">
        <v>131</v>
      </c>
      <c r="E33" s="18" t="str">
        <f aca="false">COUNTIFS(G4:G29,"UNIT*",A4:A29,"&lt;&gt;DNP*",A4:A29,"&lt;&gt;PCB only")&amp;" of "&amp;(COUNTA(C4:C29)-COUNTIF(A4:A29,"PCB only")-COUNTIF(A4:A29,"DNP*"))</f>
        <v>16 of 19</v>
      </c>
    </row>
  </sheetData>
  <mergeCells count="8">
    <mergeCell ref="A2:L2"/>
    <mergeCell ref="A4:L4"/>
    <mergeCell ref="A8:L8"/>
    <mergeCell ref="A11:L11"/>
    <mergeCell ref="A14:L14"/>
    <mergeCell ref="A17:L17"/>
    <mergeCell ref="A22:L22"/>
    <mergeCell ref="A26:L26"/>
  </mergeCells>
  <hyperlinks>
    <hyperlink ref="G5" r:id="rId1" display="UNIT"/>
    <hyperlink ref="I5" r:id="rId2" display="Mouser"/>
    <hyperlink ref="J5" r:id="rId3" display="DigiKey"/>
    <hyperlink ref="K5" r:id="rId4" display="Part page (ESP32-DEVKITC)"/>
    <hyperlink ref="I6" r:id="rId5" display="Mouser"/>
    <hyperlink ref="J6" r:id="rId6" display="DigiKey"/>
    <hyperlink ref="G7" r:id="rId7" display="UNIT"/>
    <hyperlink ref="G9" r:id="rId8" display="UNIT"/>
    <hyperlink ref="I9" r:id="rId9" display="Mouser"/>
    <hyperlink ref="J9" r:id="rId10" display="DigiKey"/>
    <hyperlink ref="G10" r:id="rId11" display="UNIT"/>
    <hyperlink ref="I10" r:id="rId12" display="Mouser"/>
    <hyperlink ref="J10" r:id="rId13" display="DigiKey"/>
    <hyperlink ref="G12" r:id="rId14" display="UNIT"/>
    <hyperlink ref="H12" r:id="rId15" display="C6760738"/>
    <hyperlink ref="I12" r:id="rId16" display="Mouser"/>
    <hyperlink ref="J12" r:id="rId17" display="DigiKey"/>
    <hyperlink ref="K12" r:id="rId18" display="Part page"/>
    <hyperlink ref="G13" r:id="rId19" display="UNIT"/>
    <hyperlink ref="H13" r:id="rId20" display="C496549"/>
    <hyperlink ref="I13" r:id="rId21" display="Mouser"/>
    <hyperlink ref="J13" r:id="rId22" display="DigiKey"/>
    <hyperlink ref="K13" r:id="rId23" display="Search"/>
    <hyperlink ref="G15" r:id="rId24" display="UNIT"/>
    <hyperlink ref="H15" r:id="rId25" display="C283232"/>
    <hyperlink ref="I15" r:id="rId26" display="Mouser"/>
    <hyperlink ref="J15" r:id="rId27" display="DigiKey"/>
    <hyperlink ref="K15" r:id="rId28" display="Search"/>
    <hyperlink ref="G16" r:id="rId29" display="UNIT"/>
    <hyperlink ref="I16" r:id="rId30" display="Mouser"/>
    <hyperlink ref="J16" r:id="rId31" display="DigiKey"/>
    <hyperlink ref="K16" r:id="rId32" display="Search"/>
    <hyperlink ref="G18" r:id="rId33" display="UNIT"/>
    <hyperlink ref="H18" r:id="rId34" display="C2761795"/>
    <hyperlink ref="I18" r:id="rId35" display="Mouser"/>
    <hyperlink ref="J18" r:id="rId36" display="DigiKey"/>
    <hyperlink ref="K18" r:id="rId37" display="Search"/>
    <hyperlink ref="H19" r:id="rId38" display="C94599"/>
    <hyperlink ref="I19" r:id="rId39" display="Mouser"/>
    <hyperlink ref="J19" r:id="rId40" display="DigiKey"/>
    <hyperlink ref="K19" r:id="rId41" display="Search"/>
    <hyperlink ref="H20" r:id="rId42" display="C116738"/>
    <hyperlink ref="I20" r:id="rId43" display="Mouser"/>
    <hyperlink ref="J20" r:id="rId44" display="DigiKey"/>
    <hyperlink ref="K20" r:id="rId45" display="Search"/>
    <hyperlink ref="G21" r:id="rId46" display="UNIT"/>
    <hyperlink ref="H21" r:id="rId47" display="C81598"/>
    <hyperlink ref="I21" r:id="rId48" display="Mouser"/>
    <hyperlink ref="J21" r:id="rId49" display="DigiKey"/>
    <hyperlink ref="K21" r:id="rId50" display="Part page (1N4148W-7-F)"/>
    <hyperlink ref="G23" r:id="rId51" display="UNIT"/>
    <hyperlink ref="H23" r:id="rId52" display="C23162"/>
    <hyperlink ref="I23" r:id="rId53" display="Mouser"/>
    <hyperlink ref="J23" r:id="rId54" display="DigiKey"/>
    <hyperlink ref="G24" r:id="rId55" display="UNIT"/>
    <hyperlink ref="H24" r:id="rId56" display="C23140"/>
    <hyperlink ref="I24" r:id="rId57" display="Mouser"/>
    <hyperlink ref="J24" r:id="rId58" display="DigiKey"/>
    <hyperlink ref="G25" r:id="rId59" display="UNIT"/>
    <hyperlink ref="H25" r:id="rId60" display="C25804"/>
    <hyperlink ref="I25" r:id="rId61" display="Mouser"/>
    <hyperlink ref="J25" r:id="rId62" display="DigiKey"/>
    <hyperlink ref="G27" r:id="rId63" display="UNIT"/>
    <hyperlink ref="H27" r:id="rId64" display="C49678"/>
    <hyperlink ref="I27" r:id="rId65" display="Mouser"/>
    <hyperlink ref="J27" r:id="rId66" display="DigiKey"/>
    <hyperlink ref="G28" r:id="rId67" display="UNIT"/>
    <hyperlink ref="H28" r:id="rId68" display="C15850"/>
    <hyperlink ref="I28" r:id="rId69" display="Mouser"/>
    <hyperlink ref="J28" r:id="rId70" display="DigiKey"/>
    <hyperlink ref="G29" r:id="rId71" display="UNIT"/>
    <hyperlink ref="H29" r:id="rId72" display="C45783"/>
    <hyperlink ref="I29" r:id="rId73" display="Mouser"/>
    <hyperlink ref="J29" r:id="rId74" display="DigiKey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2026-10-30T00:44:00Z</dcterms:created>
  <dc:creator>openpyxl</dc:creator>
  <dc:description/>
  <dc:language>en-US</dc:language>
  <cp:lastModifiedBy/>
  <dcterms:modified xsi:type="dcterms:W3CDTF">2026-10-30T00:44:00Z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